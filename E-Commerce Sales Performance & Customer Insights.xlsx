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E-Commerce Sales Performance &amp; Customer Insights\"/>
    </mc:Choice>
  </mc:AlternateContent>
  <xr:revisionPtr revIDLastSave="0" documentId="13_ncr:1_{8A65F992-FC3F-4C61-9A68-78C104A6A56A}" xr6:coauthVersionLast="47" xr6:coauthVersionMax="47" xr10:uidLastSave="{00000000-0000-0000-0000-000000000000}"/>
  <bookViews>
    <workbookView xWindow="-96" yWindow="-96" windowWidth="23232" windowHeight="14592" activeTab="2" xr2:uid="{00000000-000D-0000-FFFF-FFFF00000000}"/>
  </bookViews>
  <sheets>
    <sheet name="Customers" sheetId="1" r:id="rId1"/>
    <sheet name="Orders" sheetId="2" r:id="rId2"/>
    <sheet name="Sales" sheetId="3" r:id="rId3"/>
  </sheets>
  <calcPr calcId="191029"/>
  <pivotCaches>
    <pivotCache cacheId="3" r:id="rId4"/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19" i="3" l="1"/>
  <c r="F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2" i="3"/>
</calcChain>
</file>

<file path=xl/sharedStrings.xml><?xml version="1.0" encoding="utf-8"?>
<sst xmlns="http://schemas.openxmlformats.org/spreadsheetml/2006/main" count="2074" uniqueCount="338">
  <si>
    <t>CustomerID</t>
  </si>
  <si>
    <t>CustomerName</t>
  </si>
  <si>
    <t>City</t>
  </si>
  <si>
    <t>Segment</t>
  </si>
  <si>
    <t>C101</t>
  </si>
  <si>
    <t>Customer_1</t>
  </si>
  <si>
    <t>Chennai</t>
  </si>
  <si>
    <t>Corporate</t>
  </si>
  <si>
    <t>C102</t>
  </si>
  <si>
    <t>Customer_2</t>
  </si>
  <si>
    <t>Kolkata</t>
  </si>
  <si>
    <t>C103</t>
  </si>
  <si>
    <t>Customer_3</t>
  </si>
  <si>
    <t>Consumer</t>
  </si>
  <si>
    <t>C104</t>
  </si>
  <si>
    <t>Customer_4</t>
  </si>
  <si>
    <t>C105</t>
  </si>
  <si>
    <t>Customer_5</t>
  </si>
  <si>
    <t>Home Office</t>
  </si>
  <si>
    <t>C106</t>
  </si>
  <si>
    <t>Customer_6</t>
  </si>
  <si>
    <t>Hyderabad</t>
  </si>
  <si>
    <t>C107</t>
  </si>
  <si>
    <t>Customer_7</t>
  </si>
  <si>
    <t>C108</t>
  </si>
  <si>
    <t>Customer_8</t>
  </si>
  <si>
    <t>Delhi</t>
  </si>
  <si>
    <t>C109</t>
  </si>
  <si>
    <t>Customer_9</t>
  </si>
  <si>
    <t>C110</t>
  </si>
  <si>
    <t>Customer_10</t>
  </si>
  <si>
    <t>Mumbai</t>
  </si>
  <si>
    <t>C111</t>
  </si>
  <si>
    <t>Customer_11</t>
  </si>
  <si>
    <t>C112</t>
  </si>
  <si>
    <t>Customer_12</t>
  </si>
  <si>
    <t>Pune</t>
  </si>
  <si>
    <t>C113</t>
  </si>
  <si>
    <t>Customer_13</t>
  </si>
  <si>
    <t>C114</t>
  </si>
  <si>
    <t>Customer_14</t>
  </si>
  <si>
    <t>C115</t>
  </si>
  <si>
    <t>Customer_15</t>
  </si>
  <si>
    <t>C116</t>
  </si>
  <si>
    <t>Customer_16</t>
  </si>
  <si>
    <t>C117</t>
  </si>
  <si>
    <t>Customer_17</t>
  </si>
  <si>
    <t>C118</t>
  </si>
  <si>
    <t>Customer_18</t>
  </si>
  <si>
    <t>C119</t>
  </si>
  <si>
    <t>Customer_19</t>
  </si>
  <si>
    <t>C120</t>
  </si>
  <si>
    <t>Customer_20</t>
  </si>
  <si>
    <t>C121</t>
  </si>
  <si>
    <t>Customer_21</t>
  </si>
  <si>
    <t>C122</t>
  </si>
  <si>
    <t>Customer_22</t>
  </si>
  <si>
    <t>C123</t>
  </si>
  <si>
    <t>Customer_23</t>
  </si>
  <si>
    <t>C124</t>
  </si>
  <si>
    <t>Customer_24</t>
  </si>
  <si>
    <t>C125</t>
  </si>
  <si>
    <t>Customer_25</t>
  </si>
  <si>
    <t>C126</t>
  </si>
  <si>
    <t>Customer_26</t>
  </si>
  <si>
    <t>C127</t>
  </si>
  <si>
    <t>Customer_27</t>
  </si>
  <si>
    <t>C128</t>
  </si>
  <si>
    <t>Customer_28</t>
  </si>
  <si>
    <t>C129</t>
  </si>
  <si>
    <t>Customer_29</t>
  </si>
  <si>
    <t>C130</t>
  </si>
  <si>
    <t>Customer_30</t>
  </si>
  <si>
    <t>C131</t>
  </si>
  <si>
    <t>Customer_31</t>
  </si>
  <si>
    <t>C132</t>
  </si>
  <si>
    <t>Customer_32</t>
  </si>
  <si>
    <t>C133</t>
  </si>
  <si>
    <t>Customer_33</t>
  </si>
  <si>
    <t>C134</t>
  </si>
  <si>
    <t>Customer_34</t>
  </si>
  <si>
    <t>Bengaluru</t>
  </si>
  <si>
    <t>C135</t>
  </si>
  <si>
    <t>Customer_35</t>
  </si>
  <si>
    <t>C136</t>
  </si>
  <si>
    <t>Customer_36</t>
  </si>
  <si>
    <t>C137</t>
  </si>
  <si>
    <t>Customer_37</t>
  </si>
  <si>
    <t>C138</t>
  </si>
  <si>
    <t>Customer_38</t>
  </si>
  <si>
    <t>C139</t>
  </si>
  <si>
    <t>Customer_39</t>
  </si>
  <si>
    <t>C140</t>
  </si>
  <si>
    <t>Customer_40</t>
  </si>
  <si>
    <t>C141</t>
  </si>
  <si>
    <t>Customer_41</t>
  </si>
  <si>
    <t>C142</t>
  </si>
  <si>
    <t>Customer_42</t>
  </si>
  <si>
    <t>C143</t>
  </si>
  <si>
    <t>Customer_43</t>
  </si>
  <si>
    <t>C144</t>
  </si>
  <si>
    <t>Customer_44</t>
  </si>
  <si>
    <t>C145</t>
  </si>
  <si>
    <t>Customer_45</t>
  </si>
  <si>
    <t>C146</t>
  </si>
  <si>
    <t>Customer_46</t>
  </si>
  <si>
    <t>C147</t>
  </si>
  <si>
    <t>Customer_47</t>
  </si>
  <si>
    <t>C148</t>
  </si>
  <si>
    <t>Customer_48</t>
  </si>
  <si>
    <t>C149</t>
  </si>
  <si>
    <t>Customer_49</t>
  </si>
  <si>
    <t>C150</t>
  </si>
  <si>
    <t>Customer_50</t>
  </si>
  <si>
    <t>OrderID</t>
  </si>
  <si>
    <t>OrderDate</t>
  </si>
  <si>
    <t>OrderStatus</t>
  </si>
  <si>
    <t>O1001</t>
  </si>
  <si>
    <t>Pending</t>
  </si>
  <si>
    <t>O1002</t>
  </si>
  <si>
    <t>O1003</t>
  </si>
  <si>
    <t>Completed</t>
  </si>
  <si>
    <t>O1004</t>
  </si>
  <si>
    <t>O1005</t>
  </si>
  <si>
    <t>O1006</t>
  </si>
  <si>
    <t>O1007</t>
  </si>
  <si>
    <t>O1008</t>
  </si>
  <si>
    <t>O1009</t>
  </si>
  <si>
    <t>Cancelled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</si>
  <si>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</si>
  <si>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</si>
  <si>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</si>
  <si>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</si>
  <si>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</si>
  <si>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</si>
  <si>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</si>
  <si>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</si>
  <si>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</si>
  <si>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</si>
  <si>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</si>
  <si>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</si>
  <si>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</si>
  <si>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</si>
  <si>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</si>
  <si>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</si>
  <si>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</si>
  <si>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</si>
  <si>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</si>
  <si>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</si>
  <si>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</si>
  <si>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</si>
  <si>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</si>
  <si>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</si>
  <si>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</si>
  <si>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</si>
  <si>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</si>
  <si>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</si>
  <si>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</si>
  <si>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</si>
  <si>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</si>
  <si>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</si>
  <si>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</si>
  <si>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</si>
  <si>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</si>
  <si>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</si>
  <si>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</si>
  <si>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</si>
  <si>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</si>
  <si>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</si>
  <si>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</si>
  <si>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</si>
  <si>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</si>
  <si>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</si>
  <si>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</si>
  <si>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</si>
  <si>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</si>
  <si>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</si>
  <si>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</si>
  <si>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</si>
  <si>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</si>
  <si>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</si>
  <si>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</si>
  <si>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</si>
  <si>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</si>
  <si>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</si>
  <si>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</si>
  <si>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</si>
  <si>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</si>
  <si>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</si>
  <si>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</si>
  <si>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</si>
  <si>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</si>
  <si>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</si>
  <si>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</si>
  <si>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</si>
  <si>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</si>
  <si>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</si>
  <si>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</si>
  <si>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</si>
  <si>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</si>
  <si>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</si>
  <si>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</si>
  <si>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</si>
  <si>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</si>
  <si>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</si>
  <si>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</si>
  <si>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</si>
  <si>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</si>
  <si>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</si>
  <si>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</si>
  <si>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</si>
  <si>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</si>
  <si>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</si>
  <si>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</si>
  <si>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</si>
  <si>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</si>
  <si>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</si>
  <si>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</si>
  <si>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</si>
  <si>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</si>
  <si>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</si>
  <si>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</si>
  <si>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</si>
  <si>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</si>
  <si>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</si>
  <si>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</si>
  <si>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</si>
  <si>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</si>
  <si>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</si>
  <si>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</si>
  <si>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</si>
  <si>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</si>
  <si>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</si>
  <si>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</si>
  <si>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</si>
  <si>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</si>
  <si>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</si>
  <si>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</si>
  <si>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</si>
  <si>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</si>
  <si>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</si>
  <si>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</si>
  <si>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</si>
  <si>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</si>
  <si>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</si>
  <si>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</si>
  <si>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</si>
  <si>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</si>
  <si>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</si>
  <si>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</si>
  <si>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</si>
  <si>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</si>
  <si>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</si>
  <si>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</si>
  <si>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</si>
  <si>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</si>
  <si>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</si>
  <si>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</si>
  <si>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</si>
  <si>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</si>
  <si>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</si>
  <si>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</si>
  <si>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</si>
  <si>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</si>
  <si>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</si>
  <si>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</si>
  <si>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</si>
  <si>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</si>
  <si>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</si>
  <si>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</si>
  <si>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</si>
  <si>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</si>
  <si>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</si>
  <si>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</si>
  <si>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</si>
  <si>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</si>
  <si>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</si>
  <si>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</si>
  <si>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</si>
  <si>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</si>
  <si>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</si>
  <si>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</si>
  <si>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</si>
  <si>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</si>
  <si>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</si>
  <si>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</si>
  <si>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</si>
  <si>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</si>
  <si>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</si>
  <si>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</si>
  <si>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</si>
  <si>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</si>
  <si>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</si>
  <si>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</si>
  <si>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</si>
  <si>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</si>
  <si>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</si>
  <si>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</si>
  <si>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</si>
  <si>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</si>
  <si>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</si>
  <si>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</si>
  <si>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</si>
  <si>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</si>
  <si>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</si>
  <si>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</si>
  <si>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</si>
  <si>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</si>
  <si>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</si>
  <si>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</si>
  <si>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</si>
  <si>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</si>
  <si>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</si>
  <si>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</si>
  <si>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</si>
  <si>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</si>
  <si>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</si>
  <si>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</si>
  <si>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</si>
  <si>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</si>
  <si>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Product</t>
  </si>
  <si>
    <t>Category</t>
  </si>
  <si>
    <t>Quantity</t>
  </si>
  <si>
    <t>UnitPrice</t>
  </si>
  <si>
    <t>TotalSales</t>
  </si>
  <si>
    <t>Headset</t>
  </si>
  <si>
    <t>Accessories</t>
  </si>
  <si>
    <t>Monitor</t>
  </si>
  <si>
    <t>Electronics</t>
  </si>
  <si>
    <t>Keyboard</t>
  </si>
  <si>
    <t>Chair</t>
  </si>
  <si>
    <t>Furniture</t>
  </si>
  <si>
    <t>Mouse</t>
  </si>
  <si>
    <t>Table</t>
  </si>
  <si>
    <t>Laptop</t>
  </si>
  <si>
    <t>Grand Total</t>
  </si>
  <si>
    <t>Count of Customer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</si>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</sst>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"/>
    <numFmt numFmtId="165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16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4" formatCode="yyyy\-mm\-dd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04.687472106481" createdVersion="8" refreshedVersion="8" minRefreshableVersion="3" recordCount="200" xr:uid="{8B9E9695-6FC9-41E9-B9CC-E066086D8C64}">
  <cacheSource type="worksheet">
    <worksheetSource name="Table2"/>
  </cacheSource>
  <cacheFields count="4">
    <cacheField name="OrderID" numFmtId="0">
      <sharedItems count="200"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</sharedItems>
    </cacheField>
    <cacheField name="CustomerID" numFmtId="0">
      <sharedItems/>
    </cacheField>
    <cacheField name="OrderDate" numFmtId="164">
      <sharedItems containsSemiMixedTypes="0" containsNonDate="0" containsDate="1" containsString="0" minDate="2024-01-01T00:00:00" maxDate="2024-06-29T00:00:00"/>
    </cacheField>
    <cacheField name="OrderStatus" numFmtId="0">
      <sharedItems count="3">
        <s v="Pending"/>
        <s v="Complet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04.691591319446" createdVersion="8" refreshedVersion="8" minRefreshableVersion="3" recordCount="417" xr:uid="{B69BC3A9-C3DD-4F9E-B73E-17DBD4EC0BFB}">
  <cacheSource type="worksheet">
    <worksheetSource name="Table3"/>
  </cacheSource>
  <cacheFields count="6">
    <cacheField name="OrderID" numFmtId="0">
      <sharedItems/>
    </cacheField>
    <cacheField name="Product" numFmtId="0">
      <sharedItems/>
    </cacheField>
    <cacheField name="Category" numFmtId="0">
      <sharedItems count="3">
        <s v="Accessories"/>
        <s v="Electronic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containsInteger="1" minValue="500" maxValue="55000"/>
    </cacheField>
    <cacheField name="TotalSales" numFmtId="165">
      <sharedItems containsSemiMixedTypes="0" containsString="0" containsNumber="1" containsInteger="1" minValue="5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C133"/>
    <d v="2024-06-20T00:00:00"/>
    <x v="0"/>
  </r>
  <r>
    <x v="1"/>
    <s v="C104"/>
    <d v="2024-03-22T00:00:00"/>
    <x v="0"/>
  </r>
  <r>
    <x v="2"/>
    <s v="C112"/>
    <d v="2024-02-26T00:00:00"/>
    <x v="1"/>
  </r>
  <r>
    <x v="3"/>
    <s v="C126"/>
    <d v="2024-03-21T00:00:00"/>
    <x v="1"/>
  </r>
  <r>
    <x v="4"/>
    <s v="C101"/>
    <d v="2024-06-23T00:00:00"/>
    <x v="1"/>
  </r>
  <r>
    <x v="5"/>
    <s v="C141"/>
    <d v="2024-01-12T00:00:00"/>
    <x v="0"/>
  </r>
  <r>
    <x v="6"/>
    <s v="C136"/>
    <d v="2024-06-26T00:00:00"/>
    <x v="1"/>
  </r>
  <r>
    <x v="7"/>
    <s v="C138"/>
    <d v="2024-05-16T00:00:00"/>
    <x v="0"/>
  </r>
  <r>
    <x v="8"/>
    <s v="C125"/>
    <d v="2024-05-17T00:00:00"/>
    <x v="2"/>
  </r>
  <r>
    <x v="9"/>
    <s v="C116"/>
    <d v="2024-02-07T00:00:00"/>
    <x v="0"/>
  </r>
  <r>
    <x v="10"/>
    <s v="C109"/>
    <d v="2024-05-16T00:00:00"/>
    <x v="1"/>
  </r>
  <r>
    <x v="11"/>
    <s v="C104"/>
    <d v="2024-03-27T00:00:00"/>
    <x v="2"/>
  </r>
  <r>
    <x v="12"/>
    <s v="C117"/>
    <d v="2024-04-19T00:00:00"/>
    <x v="1"/>
  </r>
  <r>
    <x v="13"/>
    <s v="C148"/>
    <d v="2024-01-14T00:00:00"/>
    <x v="1"/>
  </r>
  <r>
    <x v="14"/>
    <s v="C138"/>
    <d v="2024-01-24T00:00:00"/>
    <x v="1"/>
  </r>
  <r>
    <x v="15"/>
    <s v="C102"/>
    <d v="2024-04-03T00:00:00"/>
    <x v="1"/>
  </r>
  <r>
    <x v="16"/>
    <s v="C115"/>
    <d v="2024-04-25T00:00:00"/>
    <x v="1"/>
  </r>
  <r>
    <x v="17"/>
    <s v="C102"/>
    <d v="2024-03-26T00:00:00"/>
    <x v="1"/>
  </r>
  <r>
    <x v="18"/>
    <s v="C112"/>
    <d v="2024-06-05T00:00:00"/>
    <x v="1"/>
  </r>
  <r>
    <x v="19"/>
    <s v="C143"/>
    <d v="2024-02-23T00:00:00"/>
    <x v="2"/>
  </r>
  <r>
    <x v="20"/>
    <s v="C110"/>
    <d v="2024-06-23T00:00:00"/>
    <x v="1"/>
  </r>
  <r>
    <x v="21"/>
    <s v="C138"/>
    <d v="2024-05-01T00:00:00"/>
    <x v="1"/>
  </r>
  <r>
    <x v="22"/>
    <s v="C139"/>
    <d v="2024-02-28T00:00:00"/>
    <x v="1"/>
  </r>
  <r>
    <x v="23"/>
    <s v="C109"/>
    <d v="2024-02-11T00:00:00"/>
    <x v="1"/>
  </r>
  <r>
    <x v="24"/>
    <s v="C113"/>
    <d v="2024-03-03T00:00:00"/>
    <x v="0"/>
  </r>
  <r>
    <x v="25"/>
    <s v="C126"/>
    <d v="2024-01-22T00:00:00"/>
    <x v="2"/>
  </r>
  <r>
    <x v="26"/>
    <s v="C124"/>
    <d v="2024-03-02T00:00:00"/>
    <x v="1"/>
  </r>
  <r>
    <x v="27"/>
    <s v="C126"/>
    <d v="2024-01-18T00:00:00"/>
    <x v="0"/>
  </r>
  <r>
    <x v="28"/>
    <s v="C132"/>
    <d v="2024-01-03T00:00:00"/>
    <x v="2"/>
  </r>
  <r>
    <x v="29"/>
    <s v="C118"/>
    <d v="2024-01-17T00:00:00"/>
    <x v="0"/>
  </r>
  <r>
    <x v="30"/>
    <s v="C146"/>
    <d v="2024-03-11T00:00:00"/>
    <x v="1"/>
  </r>
  <r>
    <x v="31"/>
    <s v="C122"/>
    <d v="2024-06-23T00:00:00"/>
    <x v="2"/>
  </r>
  <r>
    <x v="32"/>
    <s v="C120"/>
    <d v="2024-02-17T00:00:00"/>
    <x v="1"/>
  </r>
  <r>
    <x v="33"/>
    <s v="C134"/>
    <d v="2024-05-07T00:00:00"/>
    <x v="1"/>
  </r>
  <r>
    <x v="34"/>
    <s v="C145"/>
    <d v="2024-06-10T00:00:00"/>
    <x v="2"/>
  </r>
  <r>
    <x v="35"/>
    <s v="C125"/>
    <d v="2024-03-30T00:00:00"/>
    <x v="1"/>
  </r>
  <r>
    <x v="36"/>
    <s v="C126"/>
    <d v="2024-01-05T00:00:00"/>
    <x v="1"/>
  </r>
  <r>
    <x v="37"/>
    <s v="C118"/>
    <d v="2024-03-13T00:00:00"/>
    <x v="1"/>
  </r>
  <r>
    <x v="38"/>
    <s v="C132"/>
    <d v="2024-04-29T00:00:00"/>
    <x v="2"/>
  </r>
  <r>
    <x v="39"/>
    <s v="C149"/>
    <d v="2024-06-05T00:00:00"/>
    <x v="0"/>
  </r>
  <r>
    <x v="40"/>
    <s v="C147"/>
    <d v="2024-06-14T00:00:00"/>
    <x v="1"/>
  </r>
  <r>
    <x v="41"/>
    <s v="C129"/>
    <d v="2024-01-11T00:00:00"/>
    <x v="2"/>
  </r>
  <r>
    <x v="42"/>
    <s v="C101"/>
    <d v="2024-01-22T00:00:00"/>
    <x v="1"/>
  </r>
  <r>
    <x v="43"/>
    <s v="C101"/>
    <d v="2024-04-27T00:00:00"/>
    <x v="1"/>
  </r>
  <r>
    <x v="44"/>
    <s v="C127"/>
    <d v="2024-02-10T00:00:00"/>
    <x v="2"/>
  </r>
  <r>
    <x v="45"/>
    <s v="C105"/>
    <d v="2024-06-06T00:00:00"/>
    <x v="2"/>
  </r>
  <r>
    <x v="46"/>
    <s v="C134"/>
    <d v="2024-04-26T00:00:00"/>
    <x v="1"/>
  </r>
  <r>
    <x v="47"/>
    <s v="C135"/>
    <d v="2024-02-17T00:00:00"/>
    <x v="1"/>
  </r>
  <r>
    <x v="48"/>
    <s v="C108"/>
    <d v="2024-01-28T00:00:00"/>
    <x v="1"/>
  </r>
  <r>
    <x v="49"/>
    <s v="C105"/>
    <d v="2024-01-01T00:00:00"/>
    <x v="1"/>
  </r>
  <r>
    <x v="50"/>
    <s v="C143"/>
    <d v="2024-04-30T00:00:00"/>
    <x v="2"/>
  </r>
  <r>
    <x v="51"/>
    <s v="C135"/>
    <d v="2024-03-16T00:00:00"/>
    <x v="0"/>
  </r>
  <r>
    <x v="52"/>
    <s v="C122"/>
    <d v="2024-01-30T00:00:00"/>
    <x v="1"/>
  </r>
  <r>
    <x v="53"/>
    <s v="C110"/>
    <d v="2024-05-01T00:00:00"/>
    <x v="1"/>
  </r>
  <r>
    <x v="54"/>
    <s v="C139"/>
    <d v="2024-02-03T00:00:00"/>
    <x v="0"/>
  </r>
  <r>
    <x v="55"/>
    <s v="C142"/>
    <d v="2024-06-01T00:00:00"/>
    <x v="1"/>
  </r>
  <r>
    <x v="56"/>
    <s v="C146"/>
    <d v="2024-05-19T00:00:00"/>
    <x v="2"/>
  </r>
  <r>
    <x v="57"/>
    <s v="C131"/>
    <d v="2024-03-11T00:00:00"/>
    <x v="1"/>
  </r>
  <r>
    <x v="58"/>
    <s v="C115"/>
    <d v="2024-04-06T00:00:00"/>
    <x v="1"/>
  </r>
  <r>
    <x v="59"/>
    <s v="C139"/>
    <d v="2024-01-04T00:00:00"/>
    <x v="2"/>
  </r>
  <r>
    <x v="60"/>
    <s v="C132"/>
    <d v="2024-04-26T00:00:00"/>
    <x v="1"/>
  </r>
  <r>
    <x v="61"/>
    <s v="C120"/>
    <d v="2024-02-27T00:00:00"/>
    <x v="1"/>
  </r>
  <r>
    <x v="62"/>
    <s v="C128"/>
    <d v="2024-02-07T00:00:00"/>
    <x v="2"/>
  </r>
  <r>
    <x v="63"/>
    <s v="C149"/>
    <d v="2024-04-17T00:00:00"/>
    <x v="0"/>
  </r>
  <r>
    <x v="64"/>
    <s v="C142"/>
    <d v="2024-03-05T00:00:00"/>
    <x v="1"/>
  </r>
  <r>
    <x v="65"/>
    <s v="C129"/>
    <d v="2024-03-16T00:00:00"/>
    <x v="1"/>
  </r>
  <r>
    <x v="66"/>
    <s v="C103"/>
    <d v="2024-06-20T00:00:00"/>
    <x v="1"/>
  </r>
  <r>
    <x v="67"/>
    <s v="C144"/>
    <d v="2024-02-28T00:00:00"/>
    <x v="1"/>
  </r>
  <r>
    <x v="68"/>
    <s v="C126"/>
    <d v="2024-06-05T00:00:00"/>
    <x v="1"/>
  </r>
  <r>
    <x v="69"/>
    <s v="C136"/>
    <d v="2024-06-16T00:00:00"/>
    <x v="2"/>
  </r>
  <r>
    <x v="70"/>
    <s v="C148"/>
    <d v="2024-05-04T00:00:00"/>
    <x v="0"/>
  </r>
  <r>
    <x v="71"/>
    <s v="C101"/>
    <d v="2024-04-18T00:00:00"/>
    <x v="0"/>
  </r>
  <r>
    <x v="72"/>
    <s v="C134"/>
    <d v="2024-01-13T00:00:00"/>
    <x v="1"/>
  </r>
  <r>
    <x v="73"/>
    <s v="C145"/>
    <d v="2024-02-29T00:00:00"/>
    <x v="2"/>
  </r>
  <r>
    <x v="74"/>
    <s v="C126"/>
    <d v="2024-06-05T00:00:00"/>
    <x v="1"/>
  </r>
  <r>
    <x v="75"/>
    <s v="C141"/>
    <d v="2024-01-03T00:00:00"/>
    <x v="1"/>
  </r>
  <r>
    <x v="76"/>
    <s v="C124"/>
    <d v="2024-01-31T00:00:00"/>
    <x v="1"/>
  </r>
  <r>
    <x v="77"/>
    <s v="C142"/>
    <d v="2024-01-05T00:00:00"/>
    <x v="0"/>
  </r>
  <r>
    <x v="78"/>
    <s v="C146"/>
    <d v="2024-02-08T00:00:00"/>
    <x v="1"/>
  </r>
  <r>
    <x v="79"/>
    <s v="C102"/>
    <d v="2024-03-04T00:00:00"/>
    <x v="0"/>
  </r>
  <r>
    <x v="80"/>
    <s v="C131"/>
    <d v="2024-06-10T00:00:00"/>
    <x v="1"/>
  </r>
  <r>
    <x v="81"/>
    <s v="C113"/>
    <d v="2024-06-22T00:00:00"/>
    <x v="2"/>
  </r>
  <r>
    <x v="82"/>
    <s v="C135"/>
    <d v="2024-03-26T00:00:00"/>
    <x v="1"/>
  </r>
  <r>
    <x v="83"/>
    <s v="C149"/>
    <d v="2024-02-01T00:00:00"/>
    <x v="1"/>
  </r>
  <r>
    <x v="84"/>
    <s v="C129"/>
    <d v="2024-01-30T00:00:00"/>
    <x v="1"/>
  </r>
  <r>
    <x v="85"/>
    <s v="C147"/>
    <d v="2024-01-31T00:00:00"/>
    <x v="0"/>
  </r>
  <r>
    <x v="86"/>
    <s v="C129"/>
    <d v="2024-02-05T00:00:00"/>
    <x v="2"/>
  </r>
  <r>
    <x v="87"/>
    <s v="C108"/>
    <d v="2024-04-10T00:00:00"/>
    <x v="1"/>
  </r>
  <r>
    <x v="88"/>
    <s v="C119"/>
    <d v="2024-05-24T00:00:00"/>
    <x v="2"/>
  </r>
  <r>
    <x v="89"/>
    <s v="C106"/>
    <d v="2024-01-08T00:00:00"/>
    <x v="1"/>
  </r>
  <r>
    <x v="90"/>
    <s v="C143"/>
    <d v="2024-05-30T00:00:00"/>
    <x v="2"/>
  </r>
  <r>
    <x v="91"/>
    <s v="C121"/>
    <d v="2024-01-20T00:00:00"/>
    <x v="1"/>
  </r>
  <r>
    <x v="92"/>
    <s v="C112"/>
    <d v="2024-04-23T00:00:00"/>
    <x v="1"/>
  </r>
  <r>
    <x v="93"/>
    <s v="C111"/>
    <d v="2024-02-25T00:00:00"/>
    <x v="1"/>
  </r>
  <r>
    <x v="94"/>
    <s v="C116"/>
    <d v="2024-03-16T00:00:00"/>
    <x v="0"/>
  </r>
  <r>
    <x v="95"/>
    <s v="C128"/>
    <d v="2024-06-28T00:00:00"/>
    <x v="0"/>
  </r>
  <r>
    <x v="96"/>
    <s v="C146"/>
    <d v="2024-01-18T00:00:00"/>
    <x v="0"/>
  </r>
  <r>
    <x v="97"/>
    <s v="C113"/>
    <d v="2024-05-30T00:00:00"/>
    <x v="1"/>
  </r>
  <r>
    <x v="98"/>
    <s v="C114"/>
    <d v="2024-05-02T00:00:00"/>
    <x v="1"/>
  </r>
  <r>
    <x v="99"/>
    <s v="C146"/>
    <d v="2024-06-14T00:00:00"/>
    <x v="0"/>
  </r>
  <r>
    <x v="100"/>
    <s v="C115"/>
    <d v="2024-03-24T00:00:00"/>
    <x v="2"/>
  </r>
  <r>
    <x v="101"/>
    <s v="C102"/>
    <d v="2024-06-14T00:00:00"/>
    <x v="1"/>
  </r>
  <r>
    <x v="102"/>
    <s v="C113"/>
    <d v="2024-04-21T00:00:00"/>
    <x v="1"/>
  </r>
  <r>
    <x v="103"/>
    <s v="C121"/>
    <d v="2024-02-27T00:00:00"/>
    <x v="2"/>
  </r>
  <r>
    <x v="104"/>
    <s v="C123"/>
    <d v="2024-03-09T00:00:00"/>
    <x v="1"/>
  </r>
  <r>
    <x v="105"/>
    <s v="C127"/>
    <d v="2024-02-22T00:00:00"/>
    <x v="2"/>
  </r>
  <r>
    <x v="106"/>
    <s v="C107"/>
    <d v="2024-03-08T00:00:00"/>
    <x v="1"/>
  </r>
  <r>
    <x v="107"/>
    <s v="C132"/>
    <d v="2024-01-04T00:00:00"/>
    <x v="1"/>
  </r>
  <r>
    <x v="108"/>
    <s v="C145"/>
    <d v="2024-05-12T00:00:00"/>
    <x v="1"/>
  </r>
  <r>
    <x v="109"/>
    <s v="C149"/>
    <d v="2024-06-24T00:00:00"/>
    <x v="1"/>
  </r>
  <r>
    <x v="110"/>
    <s v="C144"/>
    <d v="2024-06-26T00:00:00"/>
    <x v="1"/>
  </r>
  <r>
    <x v="111"/>
    <s v="C130"/>
    <d v="2024-03-19T00:00:00"/>
    <x v="2"/>
  </r>
  <r>
    <x v="112"/>
    <s v="C108"/>
    <d v="2024-01-21T00:00:00"/>
    <x v="1"/>
  </r>
  <r>
    <x v="113"/>
    <s v="C104"/>
    <d v="2024-03-11T00:00:00"/>
    <x v="2"/>
  </r>
  <r>
    <x v="114"/>
    <s v="C104"/>
    <d v="2024-06-18T00:00:00"/>
    <x v="0"/>
  </r>
  <r>
    <x v="115"/>
    <s v="C146"/>
    <d v="2024-04-09T00:00:00"/>
    <x v="1"/>
  </r>
  <r>
    <x v="116"/>
    <s v="C127"/>
    <d v="2024-05-03T00:00:00"/>
    <x v="1"/>
  </r>
  <r>
    <x v="117"/>
    <s v="C128"/>
    <d v="2024-04-02T00:00:00"/>
    <x v="1"/>
  </r>
  <r>
    <x v="118"/>
    <s v="C101"/>
    <d v="2024-05-05T00:00:00"/>
    <x v="1"/>
  </r>
  <r>
    <x v="119"/>
    <s v="C104"/>
    <d v="2024-06-03T00:00:00"/>
    <x v="0"/>
  </r>
  <r>
    <x v="120"/>
    <s v="C101"/>
    <d v="2024-03-17T00:00:00"/>
    <x v="1"/>
  </r>
  <r>
    <x v="121"/>
    <s v="C107"/>
    <d v="2024-03-31T00:00:00"/>
    <x v="0"/>
  </r>
  <r>
    <x v="122"/>
    <s v="C120"/>
    <d v="2024-05-17T00:00:00"/>
    <x v="1"/>
  </r>
  <r>
    <x v="123"/>
    <s v="C108"/>
    <d v="2024-06-27T00:00:00"/>
    <x v="2"/>
  </r>
  <r>
    <x v="124"/>
    <s v="C128"/>
    <d v="2024-04-28T00:00:00"/>
    <x v="0"/>
  </r>
  <r>
    <x v="125"/>
    <s v="C121"/>
    <d v="2024-06-06T00:00:00"/>
    <x v="2"/>
  </r>
  <r>
    <x v="126"/>
    <s v="C148"/>
    <d v="2024-03-28T00:00:00"/>
    <x v="0"/>
  </r>
  <r>
    <x v="127"/>
    <s v="C123"/>
    <d v="2024-06-22T00:00:00"/>
    <x v="1"/>
  </r>
  <r>
    <x v="128"/>
    <s v="C120"/>
    <d v="2024-04-16T00:00:00"/>
    <x v="1"/>
  </r>
  <r>
    <x v="129"/>
    <s v="C147"/>
    <d v="2024-06-01T00:00:00"/>
    <x v="1"/>
  </r>
  <r>
    <x v="130"/>
    <s v="C124"/>
    <d v="2024-03-27T00:00:00"/>
    <x v="2"/>
  </r>
  <r>
    <x v="131"/>
    <s v="C113"/>
    <d v="2024-05-02T00:00:00"/>
    <x v="1"/>
  </r>
  <r>
    <x v="132"/>
    <s v="C125"/>
    <d v="2024-01-22T00:00:00"/>
    <x v="0"/>
  </r>
  <r>
    <x v="133"/>
    <s v="C130"/>
    <d v="2024-05-02T00:00:00"/>
    <x v="2"/>
  </r>
  <r>
    <x v="134"/>
    <s v="C150"/>
    <d v="2024-02-16T00:00:00"/>
    <x v="1"/>
  </r>
  <r>
    <x v="135"/>
    <s v="C128"/>
    <d v="2024-02-19T00:00:00"/>
    <x v="2"/>
  </r>
  <r>
    <x v="136"/>
    <s v="C140"/>
    <d v="2024-05-03T00:00:00"/>
    <x v="2"/>
  </r>
  <r>
    <x v="137"/>
    <s v="C110"/>
    <d v="2024-04-17T00:00:00"/>
    <x v="1"/>
  </r>
  <r>
    <x v="138"/>
    <s v="C109"/>
    <d v="2024-01-11T00:00:00"/>
    <x v="1"/>
  </r>
  <r>
    <x v="139"/>
    <s v="C137"/>
    <d v="2024-05-02T00:00:00"/>
    <x v="2"/>
  </r>
  <r>
    <x v="140"/>
    <s v="C142"/>
    <d v="2024-06-02T00:00:00"/>
    <x v="0"/>
  </r>
  <r>
    <x v="141"/>
    <s v="C106"/>
    <d v="2024-04-20T00:00:00"/>
    <x v="1"/>
  </r>
  <r>
    <x v="142"/>
    <s v="C146"/>
    <d v="2024-05-06T00:00:00"/>
    <x v="1"/>
  </r>
  <r>
    <x v="143"/>
    <s v="C129"/>
    <d v="2024-01-03T00:00:00"/>
    <x v="1"/>
  </r>
  <r>
    <x v="144"/>
    <s v="C119"/>
    <d v="2024-03-05T00:00:00"/>
    <x v="0"/>
  </r>
  <r>
    <x v="145"/>
    <s v="C104"/>
    <d v="2024-02-20T00:00:00"/>
    <x v="0"/>
  </r>
  <r>
    <x v="146"/>
    <s v="C119"/>
    <d v="2024-01-06T00:00:00"/>
    <x v="1"/>
  </r>
  <r>
    <x v="147"/>
    <s v="C122"/>
    <d v="2024-05-01T00:00:00"/>
    <x v="1"/>
  </r>
  <r>
    <x v="148"/>
    <s v="C110"/>
    <d v="2024-05-05T00:00:00"/>
    <x v="2"/>
  </r>
  <r>
    <x v="149"/>
    <s v="C122"/>
    <d v="2024-03-29T00:00:00"/>
    <x v="1"/>
  </r>
  <r>
    <x v="150"/>
    <s v="C146"/>
    <d v="2024-03-23T00:00:00"/>
    <x v="0"/>
  </r>
  <r>
    <x v="151"/>
    <s v="C123"/>
    <d v="2024-05-14T00:00:00"/>
    <x v="1"/>
  </r>
  <r>
    <x v="152"/>
    <s v="C142"/>
    <d v="2024-04-28T00:00:00"/>
    <x v="1"/>
  </r>
  <r>
    <x v="153"/>
    <s v="C135"/>
    <d v="2024-01-16T00:00:00"/>
    <x v="1"/>
  </r>
  <r>
    <x v="154"/>
    <s v="C123"/>
    <d v="2024-06-12T00:00:00"/>
    <x v="2"/>
  </r>
  <r>
    <x v="155"/>
    <s v="C106"/>
    <d v="2024-01-25T00:00:00"/>
    <x v="1"/>
  </r>
  <r>
    <x v="156"/>
    <s v="C130"/>
    <d v="2024-05-27T00:00:00"/>
    <x v="2"/>
  </r>
  <r>
    <x v="157"/>
    <s v="C111"/>
    <d v="2024-02-07T00:00:00"/>
    <x v="1"/>
  </r>
  <r>
    <x v="158"/>
    <s v="C115"/>
    <d v="2024-04-13T00:00:00"/>
    <x v="0"/>
  </r>
  <r>
    <x v="159"/>
    <s v="C138"/>
    <d v="2024-01-08T00:00:00"/>
    <x v="2"/>
  </r>
  <r>
    <x v="160"/>
    <s v="C130"/>
    <d v="2024-03-01T00:00:00"/>
    <x v="1"/>
  </r>
  <r>
    <x v="161"/>
    <s v="C125"/>
    <d v="2024-04-27T00:00:00"/>
    <x v="1"/>
  </r>
  <r>
    <x v="162"/>
    <s v="C134"/>
    <d v="2024-02-20T00:00:00"/>
    <x v="1"/>
  </r>
  <r>
    <x v="163"/>
    <s v="C113"/>
    <d v="2024-06-26T00:00:00"/>
    <x v="0"/>
  </r>
  <r>
    <x v="164"/>
    <s v="C104"/>
    <d v="2024-05-28T00:00:00"/>
    <x v="1"/>
  </r>
  <r>
    <x v="165"/>
    <s v="C101"/>
    <d v="2024-06-12T00:00:00"/>
    <x v="2"/>
  </r>
  <r>
    <x v="166"/>
    <s v="C132"/>
    <d v="2024-05-02T00:00:00"/>
    <x v="1"/>
  </r>
  <r>
    <x v="167"/>
    <s v="C141"/>
    <d v="2024-04-25T00:00:00"/>
    <x v="1"/>
  </r>
  <r>
    <x v="168"/>
    <s v="C144"/>
    <d v="2024-04-15T00:00:00"/>
    <x v="1"/>
  </r>
  <r>
    <x v="169"/>
    <s v="C140"/>
    <d v="2024-05-24T00:00:00"/>
    <x v="2"/>
  </r>
  <r>
    <x v="170"/>
    <s v="C101"/>
    <d v="2024-01-23T00:00:00"/>
    <x v="2"/>
  </r>
  <r>
    <x v="171"/>
    <s v="C117"/>
    <d v="2024-02-06T00:00:00"/>
    <x v="1"/>
  </r>
  <r>
    <x v="172"/>
    <s v="C140"/>
    <d v="2024-04-02T00:00:00"/>
    <x v="1"/>
  </r>
  <r>
    <x v="173"/>
    <s v="C103"/>
    <d v="2024-03-22T00:00:00"/>
    <x v="1"/>
  </r>
  <r>
    <x v="174"/>
    <s v="C137"/>
    <d v="2024-06-06T00:00:00"/>
    <x v="1"/>
  </r>
  <r>
    <x v="175"/>
    <s v="C120"/>
    <d v="2024-03-22T00:00:00"/>
    <x v="1"/>
  </r>
  <r>
    <x v="176"/>
    <s v="C146"/>
    <d v="2024-03-14T00:00:00"/>
    <x v="1"/>
  </r>
  <r>
    <x v="177"/>
    <s v="C150"/>
    <d v="2024-04-01T00:00:00"/>
    <x v="1"/>
  </r>
  <r>
    <x v="178"/>
    <s v="C134"/>
    <d v="2024-04-30T00:00:00"/>
    <x v="1"/>
  </r>
  <r>
    <x v="179"/>
    <s v="C133"/>
    <d v="2024-06-20T00:00:00"/>
    <x v="1"/>
  </r>
  <r>
    <x v="180"/>
    <s v="C120"/>
    <d v="2024-03-09T00:00:00"/>
    <x v="1"/>
  </r>
  <r>
    <x v="181"/>
    <s v="C111"/>
    <d v="2024-02-13T00:00:00"/>
    <x v="0"/>
  </r>
  <r>
    <x v="182"/>
    <s v="C107"/>
    <d v="2024-05-19T00:00:00"/>
    <x v="1"/>
  </r>
  <r>
    <x v="183"/>
    <s v="C143"/>
    <d v="2024-02-07T00:00:00"/>
    <x v="2"/>
  </r>
  <r>
    <x v="184"/>
    <s v="C142"/>
    <d v="2024-01-21T00:00:00"/>
    <x v="1"/>
  </r>
  <r>
    <x v="185"/>
    <s v="C149"/>
    <d v="2024-04-18T00:00:00"/>
    <x v="2"/>
  </r>
  <r>
    <x v="186"/>
    <s v="C106"/>
    <d v="2024-04-03T00:00:00"/>
    <x v="1"/>
  </r>
  <r>
    <x v="187"/>
    <s v="C111"/>
    <d v="2024-03-14T00:00:00"/>
    <x v="1"/>
  </r>
  <r>
    <x v="188"/>
    <s v="C109"/>
    <d v="2024-05-01T00:00:00"/>
    <x v="1"/>
  </r>
  <r>
    <x v="189"/>
    <s v="C129"/>
    <d v="2024-06-08T00:00:00"/>
    <x v="0"/>
  </r>
  <r>
    <x v="190"/>
    <s v="C143"/>
    <d v="2024-01-23T00:00:00"/>
    <x v="2"/>
  </r>
  <r>
    <x v="191"/>
    <s v="C126"/>
    <d v="2024-06-14T00:00:00"/>
    <x v="1"/>
  </r>
  <r>
    <x v="192"/>
    <s v="C144"/>
    <d v="2024-04-02T00:00:00"/>
    <x v="1"/>
  </r>
  <r>
    <x v="193"/>
    <s v="C118"/>
    <d v="2024-04-04T00:00:00"/>
    <x v="1"/>
  </r>
  <r>
    <x v="194"/>
    <s v="C118"/>
    <d v="2024-05-08T00:00:00"/>
    <x v="1"/>
  </r>
  <r>
    <x v="195"/>
    <s v="C112"/>
    <d v="2024-01-08T00:00:00"/>
    <x v="0"/>
  </r>
  <r>
    <x v="196"/>
    <s v="C102"/>
    <d v="2024-04-11T00:00:00"/>
    <x v="2"/>
  </r>
  <r>
    <x v="197"/>
    <s v="C102"/>
    <d v="2024-05-26T00:00:00"/>
    <x v="1"/>
  </r>
  <r>
    <x v="198"/>
    <s v="C104"/>
    <d v="2024-03-01T00:00:00"/>
    <x v="2"/>
  </r>
  <r>
    <x v="199"/>
    <s v="C128"/>
    <d v="2024-04-04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">
  <r>
    <s v="O1001"/>
    <s v="Headset"/>
    <x v="0"/>
    <n v="3"/>
    <n v="2500"/>
    <n v="7500"/>
  </r>
  <r>
    <s v="O1002"/>
    <s v="Headset"/>
    <x v="0"/>
    <n v="4"/>
    <n v="2500"/>
    <n v="10000"/>
  </r>
  <r>
    <s v="O1002"/>
    <s v="Monitor"/>
    <x v="1"/>
    <n v="1"/>
    <n v="12000"/>
    <n v="12000"/>
  </r>
  <r>
    <s v="O1002"/>
    <s v="Headset"/>
    <x v="0"/>
    <n v="5"/>
    <n v="2500"/>
    <n v="12500"/>
  </r>
  <r>
    <s v="O1003"/>
    <s v="Headset"/>
    <x v="0"/>
    <n v="5"/>
    <n v="2500"/>
    <n v="12500"/>
  </r>
  <r>
    <s v="O1004"/>
    <s v="Keyboard"/>
    <x v="0"/>
    <n v="2"/>
    <n v="1500"/>
    <n v="3000"/>
  </r>
  <r>
    <s v="O1004"/>
    <s v="Headset"/>
    <x v="0"/>
    <n v="3"/>
    <n v="2500"/>
    <n v="7500"/>
  </r>
  <r>
    <s v="O1005"/>
    <s v="Monitor"/>
    <x v="1"/>
    <n v="5"/>
    <n v="12000"/>
    <n v="60000"/>
  </r>
  <r>
    <s v="O1006"/>
    <s v="Keyboard"/>
    <x v="0"/>
    <n v="3"/>
    <n v="1500"/>
    <n v="4500"/>
  </r>
  <r>
    <s v="O1006"/>
    <s v="Chair"/>
    <x v="2"/>
    <n v="5"/>
    <n v="7000"/>
    <n v="35000"/>
  </r>
  <r>
    <s v="O1007"/>
    <s v="Monitor"/>
    <x v="1"/>
    <n v="1"/>
    <n v="12000"/>
    <n v="12000"/>
  </r>
  <r>
    <s v="O1007"/>
    <s v="Monitor"/>
    <x v="1"/>
    <n v="1"/>
    <n v="12000"/>
    <n v="12000"/>
  </r>
  <r>
    <s v="O1008"/>
    <s v="Headset"/>
    <x v="0"/>
    <n v="5"/>
    <n v="2500"/>
    <n v="12500"/>
  </r>
  <r>
    <s v="O1009"/>
    <s v="Mouse"/>
    <x v="0"/>
    <n v="1"/>
    <n v="500"/>
    <n v="500"/>
  </r>
  <r>
    <s v="O1010"/>
    <s v="Keyboard"/>
    <x v="0"/>
    <n v="5"/>
    <n v="1500"/>
    <n v="7500"/>
  </r>
  <r>
    <s v="O1011"/>
    <s v="Keyboard"/>
    <x v="0"/>
    <n v="2"/>
    <n v="1500"/>
    <n v="3000"/>
  </r>
  <r>
    <s v="O1011"/>
    <s v="Monitor"/>
    <x v="1"/>
    <n v="5"/>
    <n v="12000"/>
    <n v="60000"/>
  </r>
  <r>
    <s v="O1011"/>
    <s v="Headset"/>
    <x v="0"/>
    <n v="4"/>
    <n v="2500"/>
    <n v="10000"/>
  </r>
  <r>
    <s v="O1012"/>
    <s v="Table"/>
    <x v="2"/>
    <n v="1"/>
    <n v="15000"/>
    <n v="15000"/>
  </r>
  <r>
    <s v="O1012"/>
    <s v="Mouse"/>
    <x v="0"/>
    <n v="5"/>
    <n v="500"/>
    <n v="2500"/>
  </r>
  <r>
    <s v="O1013"/>
    <s v="Monitor"/>
    <x v="1"/>
    <n v="4"/>
    <n v="12000"/>
    <n v="48000"/>
  </r>
  <r>
    <s v="O1013"/>
    <s v="Monitor"/>
    <x v="1"/>
    <n v="3"/>
    <n v="12000"/>
    <n v="36000"/>
  </r>
  <r>
    <s v="O1014"/>
    <s v="Monitor"/>
    <x v="1"/>
    <n v="3"/>
    <n v="12000"/>
    <n v="36000"/>
  </r>
  <r>
    <s v="O1015"/>
    <s v="Monitor"/>
    <x v="1"/>
    <n v="2"/>
    <n v="12000"/>
    <n v="24000"/>
  </r>
  <r>
    <s v="O1015"/>
    <s v="Monitor"/>
    <x v="1"/>
    <n v="3"/>
    <n v="12000"/>
    <n v="36000"/>
  </r>
  <r>
    <s v="O1016"/>
    <s v="Monitor"/>
    <x v="1"/>
    <n v="2"/>
    <n v="12000"/>
    <n v="24000"/>
  </r>
  <r>
    <s v="O1017"/>
    <s v="Mouse"/>
    <x v="0"/>
    <n v="5"/>
    <n v="500"/>
    <n v="2500"/>
  </r>
  <r>
    <s v="O1017"/>
    <s v="Headset"/>
    <x v="0"/>
    <n v="1"/>
    <n v="2500"/>
    <n v="2500"/>
  </r>
  <r>
    <s v="O1017"/>
    <s v="Keyboard"/>
    <x v="0"/>
    <n v="2"/>
    <n v="1500"/>
    <n v="3000"/>
  </r>
  <r>
    <s v="O1018"/>
    <s v="Headset"/>
    <x v="0"/>
    <n v="2"/>
    <n v="2500"/>
    <n v="5000"/>
  </r>
  <r>
    <s v="O1019"/>
    <s v="Headset"/>
    <x v="0"/>
    <n v="3"/>
    <n v="2500"/>
    <n v="7500"/>
  </r>
  <r>
    <s v="O1019"/>
    <s v="Monitor"/>
    <x v="1"/>
    <n v="3"/>
    <n v="12000"/>
    <n v="36000"/>
  </r>
  <r>
    <s v="O1020"/>
    <s v="Laptop"/>
    <x v="1"/>
    <n v="5"/>
    <n v="55000"/>
    <n v="275000"/>
  </r>
  <r>
    <s v="O1020"/>
    <s v="Chair"/>
    <x v="2"/>
    <n v="1"/>
    <n v="7000"/>
    <n v="7000"/>
  </r>
  <r>
    <s v="O1020"/>
    <s v="Keyboard"/>
    <x v="0"/>
    <n v="5"/>
    <n v="1500"/>
    <n v="7500"/>
  </r>
  <r>
    <s v="O1021"/>
    <s v="Chair"/>
    <x v="2"/>
    <n v="5"/>
    <n v="7000"/>
    <n v="35000"/>
  </r>
  <r>
    <s v="O1021"/>
    <s v="Mouse"/>
    <x v="0"/>
    <n v="2"/>
    <n v="500"/>
    <n v="1000"/>
  </r>
  <r>
    <s v="O1022"/>
    <s v="Headset"/>
    <x v="0"/>
    <n v="2"/>
    <n v="2500"/>
    <n v="5000"/>
  </r>
  <r>
    <s v="O1022"/>
    <s v="Headset"/>
    <x v="0"/>
    <n v="2"/>
    <n v="2500"/>
    <n v="5000"/>
  </r>
  <r>
    <s v="O1022"/>
    <s v="Mouse"/>
    <x v="0"/>
    <n v="4"/>
    <n v="500"/>
    <n v="2000"/>
  </r>
  <r>
    <s v="O1023"/>
    <s v="Monitor"/>
    <x v="1"/>
    <n v="3"/>
    <n v="12000"/>
    <n v="36000"/>
  </r>
  <r>
    <s v="O1023"/>
    <s v="Table"/>
    <x v="2"/>
    <n v="2"/>
    <n v="15000"/>
    <n v="30000"/>
  </r>
  <r>
    <s v="O1023"/>
    <s v="Keyboard"/>
    <x v="0"/>
    <n v="2"/>
    <n v="1500"/>
    <n v="3000"/>
  </r>
  <r>
    <s v="O1024"/>
    <s v="Chair"/>
    <x v="2"/>
    <n v="2"/>
    <n v="7000"/>
    <n v="14000"/>
  </r>
  <r>
    <s v="O1024"/>
    <s v="Table"/>
    <x v="2"/>
    <n v="1"/>
    <n v="15000"/>
    <n v="15000"/>
  </r>
  <r>
    <s v="O1024"/>
    <s v="Monitor"/>
    <x v="1"/>
    <n v="4"/>
    <n v="12000"/>
    <n v="48000"/>
  </r>
  <r>
    <s v="O1025"/>
    <s v="Monitor"/>
    <x v="1"/>
    <n v="4"/>
    <n v="12000"/>
    <n v="48000"/>
  </r>
  <r>
    <s v="O1025"/>
    <s v="Table"/>
    <x v="2"/>
    <n v="5"/>
    <n v="15000"/>
    <n v="75000"/>
  </r>
  <r>
    <s v="O1026"/>
    <s v="Table"/>
    <x v="2"/>
    <n v="5"/>
    <n v="15000"/>
    <n v="75000"/>
  </r>
  <r>
    <s v="O1026"/>
    <s v="Keyboard"/>
    <x v="0"/>
    <n v="3"/>
    <n v="1500"/>
    <n v="4500"/>
  </r>
  <r>
    <s v="O1027"/>
    <s v="Headset"/>
    <x v="0"/>
    <n v="4"/>
    <n v="2500"/>
    <n v="10000"/>
  </r>
  <r>
    <s v="O1027"/>
    <s v="Table"/>
    <x v="2"/>
    <n v="4"/>
    <n v="15000"/>
    <n v="60000"/>
  </r>
  <r>
    <s v="O1027"/>
    <s v="Chair"/>
    <x v="2"/>
    <n v="2"/>
    <n v="7000"/>
    <n v="14000"/>
  </r>
  <r>
    <s v="O1028"/>
    <s v="Headset"/>
    <x v="0"/>
    <n v="2"/>
    <n v="2500"/>
    <n v="5000"/>
  </r>
  <r>
    <s v="O1029"/>
    <s v="Table"/>
    <x v="2"/>
    <n v="4"/>
    <n v="15000"/>
    <n v="60000"/>
  </r>
  <r>
    <s v="O1029"/>
    <s v="Laptop"/>
    <x v="1"/>
    <n v="1"/>
    <n v="55000"/>
    <n v="55000"/>
  </r>
  <r>
    <s v="O1030"/>
    <s v="Mouse"/>
    <x v="0"/>
    <n v="1"/>
    <n v="500"/>
    <n v="500"/>
  </r>
  <r>
    <s v="O1031"/>
    <s v="Chair"/>
    <x v="2"/>
    <n v="2"/>
    <n v="7000"/>
    <n v="14000"/>
  </r>
  <r>
    <s v="O1032"/>
    <s v="Chair"/>
    <x v="2"/>
    <n v="4"/>
    <n v="7000"/>
    <n v="28000"/>
  </r>
  <r>
    <s v="O1033"/>
    <s v="Mouse"/>
    <x v="0"/>
    <n v="4"/>
    <n v="500"/>
    <n v="2000"/>
  </r>
  <r>
    <s v="O1033"/>
    <s v="Mouse"/>
    <x v="0"/>
    <n v="1"/>
    <n v="500"/>
    <n v="500"/>
  </r>
  <r>
    <s v="O1034"/>
    <s v="Mouse"/>
    <x v="0"/>
    <n v="5"/>
    <n v="500"/>
    <n v="2500"/>
  </r>
  <r>
    <s v="O1034"/>
    <s v="Table"/>
    <x v="2"/>
    <n v="5"/>
    <n v="15000"/>
    <n v="75000"/>
  </r>
  <r>
    <s v="O1034"/>
    <s v="Headset"/>
    <x v="0"/>
    <n v="3"/>
    <n v="2500"/>
    <n v="7500"/>
  </r>
  <r>
    <s v="O1035"/>
    <s v="Monitor"/>
    <x v="1"/>
    <n v="2"/>
    <n v="12000"/>
    <n v="24000"/>
  </r>
  <r>
    <s v="O1035"/>
    <s v="Laptop"/>
    <x v="1"/>
    <n v="1"/>
    <n v="55000"/>
    <n v="55000"/>
  </r>
  <r>
    <s v="O1035"/>
    <s v="Mouse"/>
    <x v="0"/>
    <n v="4"/>
    <n v="500"/>
    <n v="2000"/>
  </r>
  <r>
    <s v="O1036"/>
    <s v="Mouse"/>
    <x v="0"/>
    <n v="3"/>
    <n v="500"/>
    <n v="1500"/>
  </r>
  <r>
    <s v="O1036"/>
    <s v="Monitor"/>
    <x v="1"/>
    <n v="4"/>
    <n v="12000"/>
    <n v="48000"/>
  </r>
  <r>
    <s v="O1036"/>
    <s v="Mouse"/>
    <x v="0"/>
    <n v="4"/>
    <n v="500"/>
    <n v="2000"/>
  </r>
  <r>
    <s v="O1037"/>
    <s v="Table"/>
    <x v="2"/>
    <n v="5"/>
    <n v="15000"/>
    <n v="75000"/>
  </r>
  <r>
    <s v="O1037"/>
    <s v="Mouse"/>
    <x v="0"/>
    <n v="5"/>
    <n v="500"/>
    <n v="2500"/>
  </r>
  <r>
    <s v="O1038"/>
    <s v="Laptop"/>
    <x v="1"/>
    <n v="1"/>
    <n v="55000"/>
    <n v="55000"/>
  </r>
  <r>
    <s v="O1039"/>
    <s v="Mouse"/>
    <x v="0"/>
    <n v="4"/>
    <n v="500"/>
    <n v="2000"/>
  </r>
  <r>
    <s v="O1039"/>
    <s v="Laptop"/>
    <x v="1"/>
    <n v="3"/>
    <n v="55000"/>
    <n v="165000"/>
  </r>
  <r>
    <s v="O1039"/>
    <s v="Monitor"/>
    <x v="1"/>
    <n v="2"/>
    <n v="12000"/>
    <n v="24000"/>
  </r>
  <r>
    <s v="O1040"/>
    <s v="Monitor"/>
    <x v="1"/>
    <n v="5"/>
    <n v="12000"/>
    <n v="60000"/>
  </r>
  <r>
    <s v="O1040"/>
    <s v="Laptop"/>
    <x v="1"/>
    <n v="2"/>
    <n v="55000"/>
    <n v="110000"/>
  </r>
  <r>
    <s v="O1041"/>
    <s v="Table"/>
    <x v="2"/>
    <n v="3"/>
    <n v="15000"/>
    <n v="45000"/>
  </r>
  <r>
    <s v="O1041"/>
    <s v="Table"/>
    <x v="2"/>
    <n v="1"/>
    <n v="15000"/>
    <n v="15000"/>
  </r>
  <r>
    <s v="O1042"/>
    <s v="Laptop"/>
    <x v="1"/>
    <n v="3"/>
    <n v="55000"/>
    <n v="165000"/>
  </r>
  <r>
    <s v="O1043"/>
    <s v="Table"/>
    <x v="2"/>
    <n v="4"/>
    <n v="15000"/>
    <n v="60000"/>
  </r>
  <r>
    <s v="O1044"/>
    <s v="Monitor"/>
    <x v="1"/>
    <n v="1"/>
    <n v="12000"/>
    <n v="12000"/>
  </r>
  <r>
    <s v="O1044"/>
    <s v="Keyboard"/>
    <x v="0"/>
    <n v="1"/>
    <n v="1500"/>
    <n v="1500"/>
  </r>
  <r>
    <s v="O1044"/>
    <s v="Monitor"/>
    <x v="1"/>
    <n v="1"/>
    <n v="12000"/>
    <n v="12000"/>
  </r>
  <r>
    <s v="O1045"/>
    <s v="Chair"/>
    <x v="2"/>
    <n v="5"/>
    <n v="7000"/>
    <n v="35000"/>
  </r>
  <r>
    <s v="O1045"/>
    <s v="Headset"/>
    <x v="0"/>
    <n v="3"/>
    <n v="2500"/>
    <n v="7500"/>
  </r>
  <r>
    <s v="O1046"/>
    <s v="Laptop"/>
    <x v="1"/>
    <n v="1"/>
    <n v="55000"/>
    <n v="55000"/>
  </r>
  <r>
    <s v="O1046"/>
    <s v="Chair"/>
    <x v="2"/>
    <n v="1"/>
    <n v="7000"/>
    <n v="7000"/>
  </r>
  <r>
    <s v="O1046"/>
    <s v="Headset"/>
    <x v="0"/>
    <n v="3"/>
    <n v="2500"/>
    <n v="7500"/>
  </r>
  <r>
    <s v="O1047"/>
    <s v="Keyboard"/>
    <x v="0"/>
    <n v="2"/>
    <n v="1500"/>
    <n v="3000"/>
  </r>
  <r>
    <s v="O1047"/>
    <s v="Table"/>
    <x v="2"/>
    <n v="3"/>
    <n v="15000"/>
    <n v="45000"/>
  </r>
  <r>
    <s v="O1047"/>
    <s v="Mouse"/>
    <x v="0"/>
    <n v="5"/>
    <n v="500"/>
    <n v="2500"/>
  </r>
  <r>
    <s v="O1048"/>
    <s v="Laptop"/>
    <x v="1"/>
    <n v="4"/>
    <n v="55000"/>
    <n v="220000"/>
  </r>
  <r>
    <s v="O1049"/>
    <s v="Monitor"/>
    <x v="1"/>
    <n v="2"/>
    <n v="12000"/>
    <n v="24000"/>
  </r>
  <r>
    <s v="O1049"/>
    <s v="Monitor"/>
    <x v="1"/>
    <n v="4"/>
    <n v="12000"/>
    <n v="48000"/>
  </r>
  <r>
    <s v="O1050"/>
    <s v="Mouse"/>
    <x v="0"/>
    <n v="2"/>
    <n v="500"/>
    <n v="1000"/>
  </r>
  <r>
    <s v="O1051"/>
    <s v="Keyboard"/>
    <x v="0"/>
    <n v="4"/>
    <n v="1500"/>
    <n v="6000"/>
  </r>
  <r>
    <s v="O1051"/>
    <s v="Monitor"/>
    <x v="1"/>
    <n v="5"/>
    <n v="12000"/>
    <n v="60000"/>
  </r>
  <r>
    <s v="O1051"/>
    <s v="Monitor"/>
    <x v="1"/>
    <n v="4"/>
    <n v="12000"/>
    <n v="48000"/>
  </r>
  <r>
    <s v="O1052"/>
    <s v="Keyboard"/>
    <x v="0"/>
    <n v="5"/>
    <n v="1500"/>
    <n v="7500"/>
  </r>
  <r>
    <s v="O1052"/>
    <s v="Keyboard"/>
    <x v="0"/>
    <n v="3"/>
    <n v="1500"/>
    <n v="4500"/>
  </r>
  <r>
    <s v="O1053"/>
    <s v="Keyboard"/>
    <x v="0"/>
    <n v="2"/>
    <n v="1500"/>
    <n v="3000"/>
  </r>
  <r>
    <s v="O1053"/>
    <s v="Headset"/>
    <x v="0"/>
    <n v="2"/>
    <n v="2500"/>
    <n v="5000"/>
  </r>
  <r>
    <s v="O1053"/>
    <s v="Laptop"/>
    <x v="1"/>
    <n v="2"/>
    <n v="55000"/>
    <n v="110000"/>
  </r>
  <r>
    <s v="O1054"/>
    <s v="Mouse"/>
    <x v="0"/>
    <n v="3"/>
    <n v="500"/>
    <n v="1500"/>
  </r>
  <r>
    <s v="O1055"/>
    <s v="Chair"/>
    <x v="2"/>
    <n v="5"/>
    <n v="7000"/>
    <n v="35000"/>
  </r>
  <r>
    <s v="O1055"/>
    <s v="Laptop"/>
    <x v="1"/>
    <n v="5"/>
    <n v="55000"/>
    <n v="275000"/>
  </r>
  <r>
    <s v="O1056"/>
    <s v="Headset"/>
    <x v="0"/>
    <n v="5"/>
    <n v="2500"/>
    <n v="12500"/>
  </r>
  <r>
    <s v="O1056"/>
    <s v="Mouse"/>
    <x v="0"/>
    <n v="2"/>
    <n v="500"/>
    <n v="1000"/>
  </r>
  <r>
    <s v="O1057"/>
    <s v="Mouse"/>
    <x v="0"/>
    <n v="1"/>
    <n v="500"/>
    <n v="500"/>
  </r>
  <r>
    <s v="O1057"/>
    <s v="Laptop"/>
    <x v="1"/>
    <n v="4"/>
    <n v="55000"/>
    <n v="220000"/>
  </r>
  <r>
    <s v="O1057"/>
    <s v="Laptop"/>
    <x v="1"/>
    <n v="5"/>
    <n v="55000"/>
    <n v="275000"/>
  </r>
  <r>
    <s v="O1058"/>
    <s v="Chair"/>
    <x v="2"/>
    <n v="2"/>
    <n v="7000"/>
    <n v="14000"/>
  </r>
  <r>
    <s v="O1059"/>
    <s v="Keyboard"/>
    <x v="0"/>
    <n v="5"/>
    <n v="1500"/>
    <n v="7500"/>
  </r>
  <r>
    <s v="O1059"/>
    <s v="Mouse"/>
    <x v="0"/>
    <n v="4"/>
    <n v="500"/>
    <n v="2000"/>
  </r>
  <r>
    <s v="O1059"/>
    <s v="Monitor"/>
    <x v="1"/>
    <n v="1"/>
    <n v="12000"/>
    <n v="12000"/>
  </r>
  <r>
    <s v="O1060"/>
    <s v="Monitor"/>
    <x v="1"/>
    <n v="4"/>
    <n v="12000"/>
    <n v="48000"/>
  </r>
  <r>
    <s v="O1060"/>
    <s v="Headset"/>
    <x v="0"/>
    <n v="5"/>
    <n v="2500"/>
    <n v="12500"/>
  </r>
  <r>
    <s v="O1060"/>
    <s v="Chair"/>
    <x v="2"/>
    <n v="1"/>
    <n v="7000"/>
    <n v="7000"/>
  </r>
  <r>
    <s v="O1061"/>
    <s v="Table"/>
    <x v="2"/>
    <n v="2"/>
    <n v="15000"/>
    <n v="30000"/>
  </r>
  <r>
    <s v="O1061"/>
    <s v="Mouse"/>
    <x v="0"/>
    <n v="4"/>
    <n v="500"/>
    <n v="2000"/>
  </r>
  <r>
    <s v="O1061"/>
    <s v="Mouse"/>
    <x v="0"/>
    <n v="2"/>
    <n v="500"/>
    <n v="1000"/>
  </r>
  <r>
    <s v="O1062"/>
    <s v="Monitor"/>
    <x v="1"/>
    <n v="2"/>
    <n v="12000"/>
    <n v="24000"/>
  </r>
  <r>
    <s v="O1063"/>
    <s v="Headset"/>
    <x v="0"/>
    <n v="2"/>
    <n v="2500"/>
    <n v="5000"/>
  </r>
  <r>
    <s v="O1063"/>
    <s v="Headset"/>
    <x v="0"/>
    <n v="5"/>
    <n v="2500"/>
    <n v="12500"/>
  </r>
  <r>
    <s v="O1063"/>
    <s v="Keyboard"/>
    <x v="0"/>
    <n v="5"/>
    <n v="1500"/>
    <n v="7500"/>
  </r>
  <r>
    <s v="O1064"/>
    <s v="Keyboard"/>
    <x v="0"/>
    <n v="2"/>
    <n v="1500"/>
    <n v="3000"/>
  </r>
  <r>
    <s v="O1064"/>
    <s v="Chair"/>
    <x v="2"/>
    <n v="5"/>
    <n v="7000"/>
    <n v="35000"/>
  </r>
  <r>
    <s v="O1064"/>
    <s v="Laptop"/>
    <x v="1"/>
    <n v="4"/>
    <n v="55000"/>
    <n v="220000"/>
  </r>
  <r>
    <s v="O1065"/>
    <s v="Headset"/>
    <x v="0"/>
    <n v="5"/>
    <n v="2500"/>
    <n v="12500"/>
  </r>
  <r>
    <s v="O1065"/>
    <s v="Table"/>
    <x v="2"/>
    <n v="3"/>
    <n v="15000"/>
    <n v="45000"/>
  </r>
  <r>
    <s v="O1065"/>
    <s v="Headset"/>
    <x v="0"/>
    <n v="3"/>
    <n v="2500"/>
    <n v="7500"/>
  </r>
  <r>
    <s v="O1066"/>
    <s v="Chair"/>
    <x v="2"/>
    <n v="2"/>
    <n v="7000"/>
    <n v="14000"/>
  </r>
  <r>
    <s v="O1066"/>
    <s v="Keyboard"/>
    <x v="0"/>
    <n v="3"/>
    <n v="1500"/>
    <n v="4500"/>
  </r>
  <r>
    <s v="O1067"/>
    <s v="Laptop"/>
    <x v="1"/>
    <n v="2"/>
    <n v="55000"/>
    <n v="110000"/>
  </r>
  <r>
    <s v="O1068"/>
    <s v="Chair"/>
    <x v="2"/>
    <n v="2"/>
    <n v="7000"/>
    <n v="14000"/>
  </r>
  <r>
    <s v="O1068"/>
    <s v="Chair"/>
    <x v="2"/>
    <n v="4"/>
    <n v="7000"/>
    <n v="28000"/>
  </r>
  <r>
    <s v="O1068"/>
    <s v="Table"/>
    <x v="2"/>
    <n v="3"/>
    <n v="15000"/>
    <n v="45000"/>
  </r>
  <r>
    <s v="O1069"/>
    <s v="Laptop"/>
    <x v="1"/>
    <n v="5"/>
    <n v="55000"/>
    <n v="275000"/>
  </r>
  <r>
    <s v="O1069"/>
    <s v="Keyboard"/>
    <x v="0"/>
    <n v="2"/>
    <n v="1500"/>
    <n v="3000"/>
  </r>
  <r>
    <s v="O1070"/>
    <s v="Mouse"/>
    <x v="0"/>
    <n v="2"/>
    <n v="500"/>
    <n v="1000"/>
  </r>
  <r>
    <s v="O1070"/>
    <s v="Table"/>
    <x v="2"/>
    <n v="1"/>
    <n v="15000"/>
    <n v="15000"/>
  </r>
  <r>
    <s v="O1071"/>
    <s v="Headset"/>
    <x v="0"/>
    <n v="5"/>
    <n v="2500"/>
    <n v="12500"/>
  </r>
  <r>
    <s v="O1071"/>
    <s v="Keyboard"/>
    <x v="0"/>
    <n v="3"/>
    <n v="1500"/>
    <n v="4500"/>
  </r>
  <r>
    <s v="O1071"/>
    <s v="Chair"/>
    <x v="2"/>
    <n v="2"/>
    <n v="7000"/>
    <n v="14000"/>
  </r>
  <r>
    <s v="O1072"/>
    <s v="Chair"/>
    <x v="2"/>
    <n v="3"/>
    <n v="7000"/>
    <n v="21000"/>
  </r>
  <r>
    <s v="O1072"/>
    <s v="Laptop"/>
    <x v="1"/>
    <n v="1"/>
    <n v="55000"/>
    <n v="55000"/>
  </r>
  <r>
    <s v="O1072"/>
    <s v="Mouse"/>
    <x v="0"/>
    <n v="1"/>
    <n v="500"/>
    <n v="500"/>
  </r>
  <r>
    <s v="O1073"/>
    <s v="Chair"/>
    <x v="2"/>
    <n v="2"/>
    <n v="7000"/>
    <n v="14000"/>
  </r>
  <r>
    <s v="O1073"/>
    <s v="Keyboard"/>
    <x v="0"/>
    <n v="5"/>
    <n v="1500"/>
    <n v="7500"/>
  </r>
  <r>
    <s v="O1073"/>
    <s v="Monitor"/>
    <x v="1"/>
    <n v="2"/>
    <n v="12000"/>
    <n v="24000"/>
  </r>
  <r>
    <s v="O1074"/>
    <s v="Monitor"/>
    <x v="1"/>
    <n v="1"/>
    <n v="12000"/>
    <n v="12000"/>
  </r>
  <r>
    <s v="O1074"/>
    <s v="Chair"/>
    <x v="2"/>
    <n v="5"/>
    <n v="7000"/>
    <n v="35000"/>
  </r>
  <r>
    <s v="O1074"/>
    <s v="Monitor"/>
    <x v="1"/>
    <n v="5"/>
    <n v="12000"/>
    <n v="60000"/>
  </r>
  <r>
    <s v="O1075"/>
    <s v="Table"/>
    <x v="2"/>
    <n v="4"/>
    <n v="15000"/>
    <n v="60000"/>
  </r>
  <r>
    <s v="O1075"/>
    <s v="Mouse"/>
    <x v="0"/>
    <n v="1"/>
    <n v="500"/>
    <n v="500"/>
  </r>
  <r>
    <s v="O1075"/>
    <s v="Monitor"/>
    <x v="1"/>
    <n v="5"/>
    <n v="12000"/>
    <n v="60000"/>
  </r>
  <r>
    <s v="O1076"/>
    <s v="Keyboard"/>
    <x v="0"/>
    <n v="1"/>
    <n v="1500"/>
    <n v="1500"/>
  </r>
  <r>
    <s v="O1077"/>
    <s v="Monitor"/>
    <x v="1"/>
    <n v="4"/>
    <n v="12000"/>
    <n v="48000"/>
  </r>
  <r>
    <s v="O1078"/>
    <s v="Keyboard"/>
    <x v="0"/>
    <n v="5"/>
    <n v="1500"/>
    <n v="7500"/>
  </r>
  <r>
    <s v="O1078"/>
    <s v="Table"/>
    <x v="2"/>
    <n v="5"/>
    <n v="15000"/>
    <n v="75000"/>
  </r>
  <r>
    <s v="O1078"/>
    <s v="Table"/>
    <x v="2"/>
    <n v="2"/>
    <n v="15000"/>
    <n v="30000"/>
  </r>
  <r>
    <s v="O1079"/>
    <s v="Monitor"/>
    <x v="1"/>
    <n v="5"/>
    <n v="12000"/>
    <n v="60000"/>
  </r>
  <r>
    <s v="O1079"/>
    <s v="Headset"/>
    <x v="0"/>
    <n v="4"/>
    <n v="2500"/>
    <n v="10000"/>
  </r>
  <r>
    <s v="O1080"/>
    <s v="Laptop"/>
    <x v="1"/>
    <n v="2"/>
    <n v="55000"/>
    <n v="110000"/>
  </r>
  <r>
    <s v="O1080"/>
    <s v="Table"/>
    <x v="2"/>
    <n v="5"/>
    <n v="15000"/>
    <n v="75000"/>
  </r>
  <r>
    <s v="O1080"/>
    <s v="Headset"/>
    <x v="0"/>
    <n v="1"/>
    <n v="2500"/>
    <n v="2500"/>
  </r>
  <r>
    <s v="O1081"/>
    <s v="Chair"/>
    <x v="2"/>
    <n v="3"/>
    <n v="7000"/>
    <n v="21000"/>
  </r>
  <r>
    <s v="O1082"/>
    <s v="Chair"/>
    <x v="2"/>
    <n v="5"/>
    <n v="7000"/>
    <n v="35000"/>
  </r>
  <r>
    <s v="O1082"/>
    <s v="Laptop"/>
    <x v="1"/>
    <n v="5"/>
    <n v="55000"/>
    <n v="275000"/>
  </r>
  <r>
    <s v="O1083"/>
    <s v="Table"/>
    <x v="2"/>
    <n v="4"/>
    <n v="15000"/>
    <n v="60000"/>
  </r>
  <r>
    <s v="O1083"/>
    <s v="Mouse"/>
    <x v="0"/>
    <n v="3"/>
    <n v="500"/>
    <n v="1500"/>
  </r>
  <r>
    <s v="O1084"/>
    <s v="Table"/>
    <x v="2"/>
    <n v="5"/>
    <n v="15000"/>
    <n v="75000"/>
  </r>
  <r>
    <s v="O1085"/>
    <s v="Headset"/>
    <x v="0"/>
    <n v="5"/>
    <n v="2500"/>
    <n v="12500"/>
  </r>
  <r>
    <s v="O1085"/>
    <s v="Mouse"/>
    <x v="0"/>
    <n v="3"/>
    <n v="500"/>
    <n v="1500"/>
  </r>
  <r>
    <s v="O1085"/>
    <s v="Table"/>
    <x v="2"/>
    <n v="4"/>
    <n v="15000"/>
    <n v="60000"/>
  </r>
  <r>
    <s v="O1086"/>
    <s v="Keyboard"/>
    <x v="0"/>
    <n v="3"/>
    <n v="1500"/>
    <n v="4500"/>
  </r>
  <r>
    <s v="O1086"/>
    <s v="Keyboard"/>
    <x v="0"/>
    <n v="5"/>
    <n v="1500"/>
    <n v="7500"/>
  </r>
  <r>
    <s v="O1087"/>
    <s v="Headset"/>
    <x v="0"/>
    <n v="3"/>
    <n v="2500"/>
    <n v="7500"/>
  </r>
  <r>
    <s v="O1087"/>
    <s v="Chair"/>
    <x v="2"/>
    <n v="3"/>
    <n v="7000"/>
    <n v="21000"/>
  </r>
  <r>
    <s v="O1087"/>
    <s v="Laptop"/>
    <x v="1"/>
    <n v="1"/>
    <n v="55000"/>
    <n v="55000"/>
  </r>
  <r>
    <s v="O1088"/>
    <s v="Monitor"/>
    <x v="1"/>
    <n v="3"/>
    <n v="12000"/>
    <n v="36000"/>
  </r>
  <r>
    <s v="O1088"/>
    <s v="Mouse"/>
    <x v="0"/>
    <n v="1"/>
    <n v="500"/>
    <n v="500"/>
  </r>
  <r>
    <s v="O1088"/>
    <s v="Keyboard"/>
    <x v="0"/>
    <n v="3"/>
    <n v="1500"/>
    <n v="4500"/>
  </r>
  <r>
    <s v="O1089"/>
    <s v="Chair"/>
    <x v="2"/>
    <n v="2"/>
    <n v="7000"/>
    <n v="14000"/>
  </r>
  <r>
    <s v="O1089"/>
    <s v="Table"/>
    <x v="2"/>
    <n v="1"/>
    <n v="15000"/>
    <n v="15000"/>
  </r>
  <r>
    <s v="O1089"/>
    <s v="Laptop"/>
    <x v="1"/>
    <n v="5"/>
    <n v="55000"/>
    <n v="275000"/>
  </r>
  <r>
    <s v="O1090"/>
    <s v="Keyboard"/>
    <x v="0"/>
    <n v="3"/>
    <n v="1500"/>
    <n v="4500"/>
  </r>
  <r>
    <s v="O1091"/>
    <s v="Mouse"/>
    <x v="0"/>
    <n v="1"/>
    <n v="500"/>
    <n v="500"/>
  </r>
  <r>
    <s v="O1091"/>
    <s v="Headset"/>
    <x v="0"/>
    <n v="1"/>
    <n v="2500"/>
    <n v="2500"/>
  </r>
  <r>
    <s v="O1091"/>
    <s v="Mouse"/>
    <x v="0"/>
    <n v="1"/>
    <n v="500"/>
    <n v="500"/>
  </r>
  <r>
    <s v="O1092"/>
    <s v="Mouse"/>
    <x v="0"/>
    <n v="5"/>
    <n v="500"/>
    <n v="2500"/>
  </r>
  <r>
    <s v="O1092"/>
    <s v="Mouse"/>
    <x v="0"/>
    <n v="5"/>
    <n v="500"/>
    <n v="2500"/>
  </r>
  <r>
    <s v="O1093"/>
    <s v="Laptop"/>
    <x v="1"/>
    <n v="4"/>
    <n v="55000"/>
    <n v="220000"/>
  </r>
  <r>
    <s v="O1093"/>
    <s v="Keyboard"/>
    <x v="0"/>
    <n v="3"/>
    <n v="1500"/>
    <n v="4500"/>
  </r>
  <r>
    <s v="O1093"/>
    <s v="Monitor"/>
    <x v="1"/>
    <n v="1"/>
    <n v="12000"/>
    <n v="12000"/>
  </r>
  <r>
    <s v="O1094"/>
    <s v="Mouse"/>
    <x v="0"/>
    <n v="4"/>
    <n v="500"/>
    <n v="2000"/>
  </r>
  <r>
    <s v="O1094"/>
    <s v="Keyboard"/>
    <x v="0"/>
    <n v="2"/>
    <n v="1500"/>
    <n v="3000"/>
  </r>
  <r>
    <s v="O1095"/>
    <s v="Monitor"/>
    <x v="1"/>
    <n v="1"/>
    <n v="12000"/>
    <n v="12000"/>
  </r>
  <r>
    <s v="O1095"/>
    <s v="Chair"/>
    <x v="2"/>
    <n v="3"/>
    <n v="7000"/>
    <n v="21000"/>
  </r>
  <r>
    <s v="O1095"/>
    <s v="Monitor"/>
    <x v="1"/>
    <n v="2"/>
    <n v="12000"/>
    <n v="24000"/>
  </r>
  <r>
    <s v="O1096"/>
    <s v="Table"/>
    <x v="2"/>
    <n v="1"/>
    <n v="15000"/>
    <n v="15000"/>
  </r>
  <r>
    <s v="O1096"/>
    <s v="Monitor"/>
    <x v="1"/>
    <n v="3"/>
    <n v="12000"/>
    <n v="36000"/>
  </r>
  <r>
    <s v="O1097"/>
    <s v="Monitor"/>
    <x v="1"/>
    <n v="4"/>
    <n v="12000"/>
    <n v="48000"/>
  </r>
  <r>
    <s v="O1097"/>
    <s v="Keyboard"/>
    <x v="0"/>
    <n v="1"/>
    <n v="1500"/>
    <n v="1500"/>
  </r>
  <r>
    <s v="O1098"/>
    <s v="Table"/>
    <x v="2"/>
    <n v="4"/>
    <n v="15000"/>
    <n v="60000"/>
  </r>
  <r>
    <s v="O1098"/>
    <s v="Monitor"/>
    <x v="1"/>
    <n v="1"/>
    <n v="12000"/>
    <n v="12000"/>
  </r>
  <r>
    <s v="O1098"/>
    <s v="Keyboard"/>
    <x v="0"/>
    <n v="3"/>
    <n v="1500"/>
    <n v="4500"/>
  </r>
  <r>
    <s v="O1099"/>
    <s v="Table"/>
    <x v="2"/>
    <n v="1"/>
    <n v="15000"/>
    <n v="15000"/>
  </r>
  <r>
    <s v="O1099"/>
    <s v="Chair"/>
    <x v="2"/>
    <n v="2"/>
    <n v="7000"/>
    <n v="14000"/>
  </r>
  <r>
    <s v="O1099"/>
    <s v="Monitor"/>
    <x v="1"/>
    <n v="2"/>
    <n v="12000"/>
    <n v="24000"/>
  </r>
  <r>
    <s v="O1100"/>
    <s v="Laptop"/>
    <x v="1"/>
    <n v="3"/>
    <n v="55000"/>
    <n v="165000"/>
  </r>
  <r>
    <s v="O1101"/>
    <s v="Headset"/>
    <x v="0"/>
    <n v="1"/>
    <n v="2500"/>
    <n v="2500"/>
  </r>
  <r>
    <s v="O1101"/>
    <s v="Headset"/>
    <x v="0"/>
    <n v="5"/>
    <n v="2500"/>
    <n v="12500"/>
  </r>
  <r>
    <s v="O1101"/>
    <s v="Headset"/>
    <x v="0"/>
    <n v="4"/>
    <n v="2500"/>
    <n v="10000"/>
  </r>
  <r>
    <s v="O1102"/>
    <s v="Mouse"/>
    <x v="0"/>
    <n v="3"/>
    <n v="500"/>
    <n v="1500"/>
  </r>
  <r>
    <s v="O1103"/>
    <s v="Monitor"/>
    <x v="1"/>
    <n v="4"/>
    <n v="12000"/>
    <n v="48000"/>
  </r>
  <r>
    <s v="O1103"/>
    <s v="Keyboard"/>
    <x v="0"/>
    <n v="3"/>
    <n v="1500"/>
    <n v="4500"/>
  </r>
  <r>
    <s v="O1104"/>
    <s v="Monitor"/>
    <x v="1"/>
    <n v="4"/>
    <n v="12000"/>
    <n v="48000"/>
  </r>
  <r>
    <s v="O1104"/>
    <s v="Mouse"/>
    <x v="0"/>
    <n v="1"/>
    <n v="500"/>
    <n v="500"/>
  </r>
  <r>
    <s v="O1104"/>
    <s v="Chair"/>
    <x v="2"/>
    <n v="4"/>
    <n v="7000"/>
    <n v="28000"/>
  </r>
  <r>
    <s v="O1105"/>
    <s v="Mouse"/>
    <x v="0"/>
    <n v="3"/>
    <n v="500"/>
    <n v="1500"/>
  </r>
  <r>
    <s v="O1105"/>
    <s v="Keyboard"/>
    <x v="0"/>
    <n v="5"/>
    <n v="1500"/>
    <n v="7500"/>
  </r>
  <r>
    <s v="O1106"/>
    <s v="Laptop"/>
    <x v="1"/>
    <n v="4"/>
    <n v="55000"/>
    <n v="220000"/>
  </r>
  <r>
    <s v="O1106"/>
    <s v="Monitor"/>
    <x v="1"/>
    <n v="5"/>
    <n v="12000"/>
    <n v="60000"/>
  </r>
  <r>
    <s v="O1106"/>
    <s v="Mouse"/>
    <x v="0"/>
    <n v="3"/>
    <n v="500"/>
    <n v="1500"/>
  </r>
  <r>
    <s v="O1107"/>
    <s v="Headset"/>
    <x v="0"/>
    <n v="2"/>
    <n v="2500"/>
    <n v="5000"/>
  </r>
  <r>
    <s v="O1108"/>
    <s v="Keyboard"/>
    <x v="0"/>
    <n v="4"/>
    <n v="1500"/>
    <n v="6000"/>
  </r>
  <r>
    <s v="O1108"/>
    <s v="Keyboard"/>
    <x v="0"/>
    <n v="2"/>
    <n v="1500"/>
    <n v="3000"/>
  </r>
  <r>
    <s v="O1108"/>
    <s v="Headset"/>
    <x v="0"/>
    <n v="4"/>
    <n v="2500"/>
    <n v="10000"/>
  </r>
  <r>
    <s v="O1109"/>
    <s v="Mouse"/>
    <x v="0"/>
    <n v="2"/>
    <n v="500"/>
    <n v="1000"/>
  </r>
  <r>
    <s v="O1109"/>
    <s v="Mouse"/>
    <x v="0"/>
    <n v="1"/>
    <n v="500"/>
    <n v="500"/>
  </r>
  <r>
    <s v="O1109"/>
    <s v="Mouse"/>
    <x v="0"/>
    <n v="4"/>
    <n v="500"/>
    <n v="2000"/>
  </r>
  <r>
    <s v="O1110"/>
    <s v="Table"/>
    <x v="2"/>
    <n v="1"/>
    <n v="15000"/>
    <n v="15000"/>
  </r>
  <r>
    <s v="O1111"/>
    <s v="Monitor"/>
    <x v="1"/>
    <n v="3"/>
    <n v="12000"/>
    <n v="36000"/>
  </r>
  <r>
    <s v="O1112"/>
    <s v="Chair"/>
    <x v="2"/>
    <n v="2"/>
    <n v="7000"/>
    <n v="14000"/>
  </r>
  <r>
    <s v="O1112"/>
    <s v="Monitor"/>
    <x v="1"/>
    <n v="1"/>
    <n v="12000"/>
    <n v="12000"/>
  </r>
  <r>
    <s v="O1113"/>
    <s v="Keyboard"/>
    <x v="0"/>
    <n v="3"/>
    <n v="1500"/>
    <n v="4500"/>
  </r>
  <r>
    <s v="O1114"/>
    <s v="Laptop"/>
    <x v="1"/>
    <n v="4"/>
    <n v="55000"/>
    <n v="220000"/>
  </r>
  <r>
    <s v="O1114"/>
    <s v="Table"/>
    <x v="2"/>
    <n v="1"/>
    <n v="15000"/>
    <n v="15000"/>
  </r>
  <r>
    <s v="O1115"/>
    <s v="Laptop"/>
    <x v="1"/>
    <n v="1"/>
    <n v="55000"/>
    <n v="55000"/>
  </r>
  <r>
    <s v="O1116"/>
    <s v="Mouse"/>
    <x v="0"/>
    <n v="1"/>
    <n v="500"/>
    <n v="500"/>
  </r>
  <r>
    <s v="O1116"/>
    <s v="Table"/>
    <x v="2"/>
    <n v="4"/>
    <n v="15000"/>
    <n v="60000"/>
  </r>
  <r>
    <s v="O1117"/>
    <s v="Mouse"/>
    <x v="0"/>
    <n v="2"/>
    <n v="500"/>
    <n v="1000"/>
  </r>
  <r>
    <s v="O1118"/>
    <s v="Laptop"/>
    <x v="1"/>
    <n v="1"/>
    <n v="55000"/>
    <n v="55000"/>
  </r>
  <r>
    <s v="O1118"/>
    <s v="Laptop"/>
    <x v="1"/>
    <n v="5"/>
    <n v="55000"/>
    <n v="275000"/>
  </r>
  <r>
    <s v="O1118"/>
    <s v="Table"/>
    <x v="2"/>
    <n v="1"/>
    <n v="15000"/>
    <n v="15000"/>
  </r>
  <r>
    <s v="O1119"/>
    <s v="Mouse"/>
    <x v="0"/>
    <n v="1"/>
    <n v="500"/>
    <n v="500"/>
  </r>
  <r>
    <s v="O1120"/>
    <s v="Monitor"/>
    <x v="1"/>
    <n v="2"/>
    <n v="12000"/>
    <n v="24000"/>
  </r>
  <r>
    <s v="O1120"/>
    <s v="Mouse"/>
    <x v="0"/>
    <n v="1"/>
    <n v="500"/>
    <n v="500"/>
  </r>
  <r>
    <s v="O1120"/>
    <s v="Mouse"/>
    <x v="0"/>
    <n v="3"/>
    <n v="500"/>
    <n v="1500"/>
  </r>
  <r>
    <s v="O1121"/>
    <s v="Mouse"/>
    <x v="0"/>
    <n v="2"/>
    <n v="500"/>
    <n v="1000"/>
  </r>
  <r>
    <s v="O1122"/>
    <s v="Monitor"/>
    <x v="1"/>
    <n v="2"/>
    <n v="12000"/>
    <n v="24000"/>
  </r>
  <r>
    <s v="O1122"/>
    <s v="Laptop"/>
    <x v="1"/>
    <n v="4"/>
    <n v="55000"/>
    <n v="220000"/>
  </r>
  <r>
    <s v="O1122"/>
    <s v="Chair"/>
    <x v="2"/>
    <n v="5"/>
    <n v="7000"/>
    <n v="35000"/>
  </r>
  <r>
    <s v="O1123"/>
    <s v="Table"/>
    <x v="2"/>
    <n v="4"/>
    <n v="15000"/>
    <n v="60000"/>
  </r>
  <r>
    <s v="O1123"/>
    <s v="Mouse"/>
    <x v="0"/>
    <n v="1"/>
    <n v="500"/>
    <n v="500"/>
  </r>
  <r>
    <s v="O1123"/>
    <s v="Laptop"/>
    <x v="1"/>
    <n v="3"/>
    <n v="55000"/>
    <n v="165000"/>
  </r>
  <r>
    <s v="O1124"/>
    <s v="Laptop"/>
    <x v="1"/>
    <n v="4"/>
    <n v="55000"/>
    <n v="220000"/>
  </r>
  <r>
    <s v="O1124"/>
    <s v="Table"/>
    <x v="2"/>
    <n v="5"/>
    <n v="15000"/>
    <n v="75000"/>
  </r>
  <r>
    <s v="O1124"/>
    <s v="Laptop"/>
    <x v="1"/>
    <n v="5"/>
    <n v="55000"/>
    <n v="275000"/>
  </r>
  <r>
    <s v="O1125"/>
    <s v="Chair"/>
    <x v="2"/>
    <n v="4"/>
    <n v="7000"/>
    <n v="28000"/>
  </r>
  <r>
    <s v="O1126"/>
    <s v="Table"/>
    <x v="2"/>
    <n v="2"/>
    <n v="15000"/>
    <n v="30000"/>
  </r>
  <r>
    <s v="O1127"/>
    <s v="Table"/>
    <x v="2"/>
    <n v="3"/>
    <n v="15000"/>
    <n v="45000"/>
  </r>
  <r>
    <s v="O1128"/>
    <s v="Headset"/>
    <x v="0"/>
    <n v="2"/>
    <n v="2500"/>
    <n v="5000"/>
  </r>
  <r>
    <s v="O1128"/>
    <s v="Headset"/>
    <x v="0"/>
    <n v="5"/>
    <n v="2500"/>
    <n v="12500"/>
  </r>
  <r>
    <s v="O1128"/>
    <s v="Chair"/>
    <x v="2"/>
    <n v="5"/>
    <n v="7000"/>
    <n v="35000"/>
  </r>
  <r>
    <s v="O1129"/>
    <s v="Mouse"/>
    <x v="0"/>
    <n v="1"/>
    <n v="500"/>
    <n v="500"/>
  </r>
  <r>
    <s v="O1130"/>
    <s v="Chair"/>
    <x v="2"/>
    <n v="4"/>
    <n v="7000"/>
    <n v="28000"/>
  </r>
  <r>
    <s v="O1130"/>
    <s v="Keyboard"/>
    <x v="0"/>
    <n v="5"/>
    <n v="1500"/>
    <n v="7500"/>
  </r>
  <r>
    <s v="O1130"/>
    <s v="Mouse"/>
    <x v="0"/>
    <n v="3"/>
    <n v="500"/>
    <n v="1500"/>
  </r>
  <r>
    <s v="O1131"/>
    <s v="Table"/>
    <x v="2"/>
    <n v="2"/>
    <n v="15000"/>
    <n v="30000"/>
  </r>
  <r>
    <s v="O1132"/>
    <s v="Monitor"/>
    <x v="1"/>
    <n v="2"/>
    <n v="12000"/>
    <n v="24000"/>
  </r>
  <r>
    <s v="O1132"/>
    <s v="Chair"/>
    <x v="2"/>
    <n v="3"/>
    <n v="7000"/>
    <n v="21000"/>
  </r>
  <r>
    <s v="O1132"/>
    <s v="Table"/>
    <x v="2"/>
    <n v="5"/>
    <n v="15000"/>
    <n v="75000"/>
  </r>
  <r>
    <s v="O1133"/>
    <s v="Keyboard"/>
    <x v="0"/>
    <n v="4"/>
    <n v="1500"/>
    <n v="6000"/>
  </r>
  <r>
    <s v="O1133"/>
    <s v="Headset"/>
    <x v="0"/>
    <n v="4"/>
    <n v="2500"/>
    <n v="10000"/>
  </r>
  <r>
    <s v="O1133"/>
    <s v="Laptop"/>
    <x v="1"/>
    <n v="4"/>
    <n v="55000"/>
    <n v="220000"/>
  </r>
  <r>
    <s v="O1134"/>
    <s v="Chair"/>
    <x v="2"/>
    <n v="5"/>
    <n v="7000"/>
    <n v="35000"/>
  </r>
  <r>
    <s v="O1134"/>
    <s v="Table"/>
    <x v="2"/>
    <n v="1"/>
    <n v="15000"/>
    <n v="15000"/>
  </r>
  <r>
    <s v="O1135"/>
    <s v="Keyboard"/>
    <x v="0"/>
    <n v="4"/>
    <n v="1500"/>
    <n v="6000"/>
  </r>
  <r>
    <s v="O1135"/>
    <s v="Mouse"/>
    <x v="0"/>
    <n v="2"/>
    <n v="500"/>
    <n v="1000"/>
  </r>
  <r>
    <s v="O1136"/>
    <s v="Table"/>
    <x v="2"/>
    <n v="1"/>
    <n v="15000"/>
    <n v="15000"/>
  </r>
  <r>
    <s v="O1136"/>
    <s v="Mouse"/>
    <x v="0"/>
    <n v="3"/>
    <n v="500"/>
    <n v="1500"/>
  </r>
  <r>
    <s v="O1137"/>
    <s v="Monitor"/>
    <x v="1"/>
    <n v="3"/>
    <n v="12000"/>
    <n v="36000"/>
  </r>
  <r>
    <s v="O1137"/>
    <s v="Keyboard"/>
    <x v="0"/>
    <n v="4"/>
    <n v="1500"/>
    <n v="6000"/>
  </r>
  <r>
    <s v="O1137"/>
    <s v="Mouse"/>
    <x v="0"/>
    <n v="1"/>
    <n v="500"/>
    <n v="500"/>
  </r>
  <r>
    <s v="O1138"/>
    <s v="Monitor"/>
    <x v="1"/>
    <n v="3"/>
    <n v="12000"/>
    <n v="36000"/>
  </r>
  <r>
    <s v="O1139"/>
    <s v="Keyboard"/>
    <x v="0"/>
    <n v="1"/>
    <n v="1500"/>
    <n v="1500"/>
  </r>
  <r>
    <s v="O1139"/>
    <s v="Mouse"/>
    <x v="0"/>
    <n v="3"/>
    <n v="500"/>
    <n v="1500"/>
  </r>
  <r>
    <s v="O1140"/>
    <s v="Headset"/>
    <x v="0"/>
    <n v="5"/>
    <n v="2500"/>
    <n v="12500"/>
  </r>
  <r>
    <s v="O1140"/>
    <s v="Table"/>
    <x v="2"/>
    <n v="2"/>
    <n v="15000"/>
    <n v="30000"/>
  </r>
  <r>
    <s v="O1141"/>
    <s v="Monitor"/>
    <x v="1"/>
    <n v="1"/>
    <n v="12000"/>
    <n v="12000"/>
  </r>
  <r>
    <s v="O1141"/>
    <s v="Chair"/>
    <x v="2"/>
    <n v="2"/>
    <n v="7000"/>
    <n v="14000"/>
  </r>
  <r>
    <s v="O1141"/>
    <s v="Chair"/>
    <x v="2"/>
    <n v="4"/>
    <n v="7000"/>
    <n v="28000"/>
  </r>
  <r>
    <s v="O1142"/>
    <s v="Monitor"/>
    <x v="1"/>
    <n v="5"/>
    <n v="12000"/>
    <n v="60000"/>
  </r>
  <r>
    <s v="O1142"/>
    <s v="Table"/>
    <x v="2"/>
    <n v="3"/>
    <n v="15000"/>
    <n v="45000"/>
  </r>
  <r>
    <s v="O1142"/>
    <s v="Headset"/>
    <x v="0"/>
    <n v="4"/>
    <n v="2500"/>
    <n v="10000"/>
  </r>
  <r>
    <s v="O1143"/>
    <s v="Mouse"/>
    <x v="0"/>
    <n v="2"/>
    <n v="500"/>
    <n v="1000"/>
  </r>
  <r>
    <s v="O1143"/>
    <s v="Monitor"/>
    <x v="1"/>
    <n v="1"/>
    <n v="12000"/>
    <n v="12000"/>
  </r>
  <r>
    <s v="O1144"/>
    <s v="Keyboard"/>
    <x v="0"/>
    <n v="1"/>
    <n v="1500"/>
    <n v="1500"/>
  </r>
  <r>
    <s v="O1144"/>
    <s v="Mouse"/>
    <x v="0"/>
    <n v="1"/>
    <n v="500"/>
    <n v="500"/>
  </r>
  <r>
    <s v="O1145"/>
    <s v="Keyboard"/>
    <x v="0"/>
    <n v="3"/>
    <n v="1500"/>
    <n v="4500"/>
  </r>
  <r>
    <s v="O1146"/>
    <s v="Table"/>
    <x v="2"/>
    <n v="2"/>
    <n v="15000"/>
    <n v="30000"/>
  </r>
  <r>
    <s v="O1146"/>
    <s v="Laptop"/>
    <x v="1"/>
    <n v="5"/>
    <n v="55000"/>
    <n v="275000"/>
  </r>
  <r>
    <s v="O1146"/>
    <s v="Headset"/>
    <x v="0"/>
    <n v="2"/>
    <n v="2500"/>
    <n v="5000"/>
  </r>
  <r>
    <s v="O1147"/>
    <s v="Mouse"/>
    <x v="0"/>
    <n v="4"/>
    <n v="500"/>
    <n v="2000"/>
  </r>
  <r>
    <s v="O1148"/>
    <s v="Chair"/>
    <x v="2"/>
    <n v="4"/>
    <n v="7000"/>
    <n v="28000"/>
  </r>
  <r>
    <s v="O1148"/>
    <s v="Laptop"/>
    <x v="1"/>
    <n v="2"/>
    <n v="55000"/>
    <n v="110000"/>
  </r>
  <r>
    <s v="O1149"/>
    <s v="Monitor"/>
    <x v="1"/>
    <n v="5"/>
    <n v="12000"/>
    <n v="60000"/>
  </r>
  <r>
    <s v="O1150"/>
    <s v="Keyboard"/>
    <x v="0"/>
    <n v="5"/>
    <n v="1500"/>
    <n v="7500"/>
  </r>
  <r>
    <s v="O1150"/>
    <s v="Headset"/>
    <x v="0"/>
    <n v="1"/>
    <n v="2500"/>
    <n v="2500"/>
  </r>
  <r>
    <s v="O1151"/>
    <s v="Mouse"/>
    <x v="0"/>
    <n v="4"/>
    <n v="500"/>
    <n v="2000"/>
  </r>
  <r>
    <s v="O1152"/>
    <s v="Headset"/>
    <x v="0"/>
    <n v="2"/>
    <n v="2500"/>
    <n v="5000"/>
  </r>
  <r>
    <s v="O1152"/>
    <s v="Chair"/>
    <x v="2"/>
    <n v="5"/>
    <n v="7000"/>
    <n v="35000"/>
  </r>
  <r>
    <s v="O1153"/>
    <s v="Keyboard"/>
    <x v="0"/>
    <n v="2"/>
    <n v="1500"/>
    <n v="3000"/>
  </r>
  <r>
    <s v="O1153"/>
    <s v="Table"/>
    <x v="2"/>
    <n v="5"/>
    <n v="15000"/>
    <n v="75000"/>
  </r>
  <r>
    <s v="O1153"/>
    <s v="Monitor"/>
    <x v="1"/>
    <n v="2"/>
    <n v="12000"/>
    <n v="24000"/>
  </r>
  <r>
    <s v="O1154"/>
    <s v="Laptop"/>
    <x v="1"/>
    <n v="1"/>
    <n v="55000"/>
    <n v="55000"/>
  </r>
  <r>
    <s v="O1154"/>
    <s v="Keyboard"/>
    <x v="0"/>
    <n v="5"/>
    <n v="1500"/>
    <n v="7500"/>
  </r>
  <r>
    <s v="O1154"/>
    <s v="Headset"/>
    <x v="0"/>
    <n v="5"/>
    <n v="2500"/>
    <n v="12500"/>
  </r>
  <r>
    <s v="O1155"/>
    <s v="Table"/>
    <x v="2"/>
    <n v="1"/>
    <n v="15000"/>
    <n v="15000"/>
  </r>
  <r>
    <s v="O1155"/>
    <s v="Keyboard"/>
    <x v="0"/>
    <n v="4"/>
    <n v="1500"/>
    <n v="6000"/>
  </r>
  <r>
    <s v="O1156"/>
    <s v="Table"/>
    <x v="2"/>
    <n v="4"/>
    <n v="15000"/>
    <n v="60000"/>
  </r>
  <r>
    <s v="O1156"/>
    <s v="Keyboard"/>
    <x v="0"/>
    <n v="2"/>
    <n v="1500"/>
    <n v="3000"/>
  </r>
  <r>
    <s v="O1157"/>
    <s v="Laptop"/>
    <x v="1"/>
    <n v="1"/>
    <n v="55000"/>
    <n v="55000"/>
  </r>
  <r>
    <s v="O1157"/>
    <s v="Headset"/>
    <x v="0"/>
    <n v="5"/>
    <n v="2500"/>
    <n v="12500"/>
  </r>
  <r>
    <s v="O1157"/>
    <s v="Table"/>
    <x v="2"/>
    <n v="4"/>
    <n v="15000"/>
    <n v="60000"/>
  </r>
  <r>
    <s v="O1158"/>
    <s v="Chair"/>
    <x v="2"/>
    <n v="2"/>
    <n v="7000"/>
    <n v="14000"/>
  </r>
  <r>
    <s v="O1159"/>
    <s v="Monitor"/>
    <x v="1"/>
    <n v="3"/>
    <n v="12000"/>
    <n v="36000"/>
  </r>
  <r>
    <s v="O1160"/>
    <s v="Keyboard"/>
    <x v="0"/>
    <n v="5"/>
    <n v="1500"/>
    <n v="7500"/>
  </r>
  <r>
    <s v="O1160"/>
    <s v="Keyboard"/>
    <x v="0"/>
    <n v="1"/>
    <n v="1500"/>
    <n v="1500"/>
  </r>
  <r>
    <s v="O1161"/>
    <s v="Chair"/>
    <x v="2"/>
    <n v="1"/>
    <n v="7000"/>
    <n v="7000"/>
  </r>
  <r>
    <s v="O1161"/>
    <s v="Laptop"/>
    <x v="1"/>
    <n v="5"/>
    <n v="55000"/>
    <n v="275000"/>
  </r>
  <r>
    <s v="O1162"/>
    <s v="Monitor"/>
    <x v="1"/>
    <n v="5"/>
    <n v="12000"/>
    <n v="60000"/>
  </r>
  <r>
    <s v="O1162"/>
    <s v="Keyboard"/>
    <x v="0"/>
    <n v="1"/>
    <n v="1500"/>
    <n v="1500"/>
  </r>
  <r>
    <s v="O1163"/>
    <s v="Mouse"/>
    <x v="0"/>
    <n v="5"/>
    <n v="500"/>
    <n v="2500"/>
  </r>
  <r>
    <s v="O1163"/>
    <s v="Monitor"/>
    <x v="1"/>
    <n v="1"/>
    <n v="12000"/>
    <n v="12000"/>
  </r>
  <r>
    <s v="O1164"/>
    <s v="Mouse"/>
    <x v="0"/>
    <n v="1"/>
    <n v="500"/>
    <n v="500"/>
  </r>
  <r>
    <s v="O1164"/>
    <s v="Monitor"/>
    <x v="1"/>
    <n v="2"/>
    <n v="12000"/>
    <n v="24000"/>
  </r>
  <r>
    <s v="O1165"/>
    <s v="Monitor"/>
    <x v="1"/>
    <n v="5"/>
    <n v="12000"/>
    <n v="60000"/>
  </r>
  <r>
    <s v="O1165"/>
    <s v="Monitor"/>
    <x v="1"/>
    <n v="2"/>
    <n v="12000"/>
    <n v="24000"/>
  </r>
  <r>
    <s v="O1166"/>
    <s v="Headset"/>
    <x v="0"/>
    <n v="2"/>
    <n v="2500"/>
    <n v="5000"/>
  </r>
  <r>
    <s v="O1166"/>
    <s v="Mouse"/>
    <x v="0"/>
    <n v="2"/>
    <n v="500"/>
    <n v="1000"/>
  </r>
  <r>
    <s v="O1167"/>
    <s v="Chair"/>
    <x v="2"/>
    <n v="4"/>
    <n v="7000"/>
    <n v="28000"/>
  </r>
  <r>
    <s v="O1167"/>
    <s v="Headset"/>
    <x v="0"/>
    <n v="5"/>
    <n v="2500"/>
    <n v="12500"/>
  </r>
  <r>
    <s v="O1167"/>
    <s v="Table"/>
    <x v="2"/>
    <n v="3"/>
    <n v="15000"/>
    <n v="45000"/>
  </r>
  <r>
    <s v="O1168"/>
    <s v="Mouse"/>
    <x v="0"/>
    <n v="3"/>
    <n v="500"/>
    <n v="1500"/>
  </r>
  <r>
    <s v="O1168"/>
    <s v="Mouse"/>
    <x v="0"/>
    <n v="3"/>
    <n v="500"/>
    <n v="1500"/>
  </r>
  <r>
    <s v="O1168"/>
    <s v="Headset"/>
    <x v="0"/>
    <n v="3"/>
    <n v="2500"/>
    <n v="7500"/>
  </r>
  <r>
    <s v="O1169"/>
    <s v="Headset"/>
    <x v="0"/>
    <n v="5"/>
    <n v="2500"/>
    <n v="12500"/>
  </r>
  <r>
    <s v="O1170"/>
    <s v="Monitor"/>
    <x v="1"/>
    <n v="4"/>
    <n v="12000"/>
    <n v="48000"/>
  </r>
  <r>
    <s v="O1171"/>
    <s v="Laptop"/>
    <x v="1"/>
    <n v="5"/>
    <n v="55000"/>
    <n v="275000"/>
  </r>
  <r>
    <s v="O1171"/>
    <s v="Keyboard"/>
    <x v="0"/>
    <n v="5"/>
    <n v="1500"/>
    <n v="7500"/>
  </r>
  <r>
    <s v="O1171"/>
    <s v="Mouse"/>
    <x v="0"/>
    <n v="2"/>
    <n v="500"/>
    <n v="1000"/>
  </r>
  <r>
    <s v="O1172"/>
    <s v="Laptop"/>
    <x v="1"/>
    <n v="5"/>
    <n v="55000"/>
    <n v="275000"/>
  </r>
  <r>
    <s v="O1172"/>
    <s v="Mouse"/>
    <x v="0"/>
    <n v="3"/>
    <n v="500"/>
    <n v="1500"/>
  </r>
  <r>
    <s v="O1172"/>
    <s v="Laptop"/>
    <x v="1"/>
    <n v="1"/>
    <n v="55000"/>
    <n v="55000"/>
  </r>
  <r>
    <s v="O1173"/>
    <s v="Headset"/>
    <x v="0"/>
    <n v="5"/>
    <n v="2500"/>
    <n v="12500"/>
  </r>
  <r>
    <s v="O1173"/>
    <s v="Laptop"/>
    <x v="1"/>
    <n v="2"/>
    <n v="55000"/>
    <n v="110000"/>
  </r>
  <r>
    <s v="O1173"/>
    <s v="Mouse"/>
    <x v="0"/>
    <n v="2"/>
    <n v="500"/>
    <n v="1000"/>
  </r>
  <r>
    <s v="O1174"/>
    <s v="Table"/>
    <x v="2"/>
    <n v="4"/>
    <n v="15000"/>
    <n v="60000"/>
  </r>
  <r>
    <s v="O1175"/>
    <s v="Keyboard"/>
    <x v="0"/>
    <n v="5"/>
    <n v="1500"/>
    <n v="7500"/>
  </r>
  <r>
    <s v="O1175"/>
    <s v="Table"/>
    <x v="2"/>
    <n v="3"/>
    <n v="15000"/>
    <n v="45000"/>
  </r>
  <r>
    <s v="O1176"/>
    <s v="Table"/>
    <x v="2"/>
    <n v="5"/>
    <n v="15000"/>
    <n v="75000"/>
  </r>
  <r>
    <s v="O1176"/>
    <s v="Table"/>
    <x v="2"/>
    <n v="4"/>
    <n v="15000"/>
    <n v="60000"/>
  </r>
  <r>
    <s v="O1177"/>
    <s v="Table"/>
    <x v="2"/>
    <n v="1"/>
    <n v="15000"/>
    <n v="15000"/>
  </r>
  <r>
    <s v="O1178"/>
    <s v="Keyboard"/>
    <x v="0"/>
    <n v="3"/>
    <n v="1500"/>
    <n v="4500"/>
  </r>
  <r>
    <s v="O1178"/>
    <s v="Monitor"/>
    <x v="1"/>
    <n v="2"/>
    <n v="12000"/>
    <n v="24000"/>
  </r>
  <r>
    <s v="O1179"/>
    <s v="Headset"/>
    <x v="0"/>
    <n v="4"/>
    <n v="2500"/>
    <n v="10000"/>
  </r>
  <r>
    <s v="O1180"/>
    <s v="Mouse"/>
    <x v="0"/>
    <n v="1"/>
    <n v="500"/>
    <n v="500"/>
  </r>
  <r>
    <s v="O1181"/>
    <s v="Table"/>
    <x v="2"/>
    <n v="3"/>
    <n v="15000"/>
    <n v="45000"/>
  </r>
  <r>
    <s v="O1181"/>
    <s v="Laptop"/>
    <x v="1"/>
    <n v="5"/>
    <n v="55000"/>
    <n v="275000"/>
  </r>
  <r>
    <s v="O1181"/>
    <s v="Laptop"/>
    <x v="1"/>
    <n v="3"/>
    <n v="55000"/>
    <n v="165000"/>
  </r>
  <r>
    <s v="O1182"/>
    <s v="Keyboard"/>
    <x v="0"/>
    <n v="2"/>
    <n v="1500"/>
    <n v="3000"/>
  </r>
  <r>
    <s v="O1182"/>
    <s v="Mouse"/>
    <x v="0"/>
    <n v="4"/>
    <n v="500"/>
    <n v="2000"/>
  </r>
  <r>
    <s v="O1182"/>
    <s v="Monitor"/>
    <x v="1"/>
    <n v="5"/>
    <n v="12000"/>
    <n v="60000"/>
  </r>
  <r>
    <s v="O1183"/>
    <s v="Mouse"/>
    <x v="0"/>
    <n v="1"/>
    <n v="500"/>
    <n v="500"/>
  </r>
  <r>
    <s v="O1183"/>
    <s v="Chair"/>
    <x v="2"/>
    <n v="4"/>
    <n v="7000"/>
    <n v="28000"/>
  </r>
  <r>
    <s v="O1183"/>
    <s v="Headset"/>
    <x v="0"/>
    <n v="5"/>
    <n v="2500"/>
    <n v="12500"/>
  </r>
  <r>
    <s v="O1184"/>
    <s v="Table"/>
    <x v="2"/>
    <n v="2"/>
    <n v="15000"/>
    <n v="30000"/>
  </r>
  <r>
    <s v="O1184"/>
    <s v="Laptop"/>
    <x v="1"/>
    <n v="2"/>
    <n v="55000"/>
    <n v="110000"/>
  </r>
  <r>
    <s v="O1184"/>
    <s v="Monitor"/>
    <x v="1"/>
    <n v="4"/>
    <n v="12000"/>
    <n v="48000"/>
  </r>
  <r>
    <s v="O1185"/>
    <s v="Monitor"/>
    <x v="1"/>
    <n v="5"/>
    <n v="12000"/>
    <n v="60000"/>
  </r>
  <r>
    <s v="O1185"/>
    <s v="Chair"/>
    <x v="2"/>
    <n v="4"/>
    <n v="7000"/>
    <n v="28000"/>
  </r>
  <r>
    <s v="O1186"/>
    <s v="Headset"/>
    <x v="0"/>
    <n v="3"/>
    <n v="2500"/>
    <n v="7500"/>
  </r>
  <r>
    <s v="O1187"/>
    <s v="Mouse"/>
    <x v="0"/>
    <n v="2"/>
    <n v="500"/>
    <n v="1000"/>
  </r>
  <r>
    <s v="O1187"/>
    <s v="Chair"/>
    <x v="2"/>
    <n v="4"/>
    <n v="7000"/>
    <n v="28000"/>
  </r>
  <r>
    <s v="O1187"/>
    <s v="Headset"/>
    <x v="0"/>
    <n v="1"/>
    <n v="2500"/>
    <n v="2500"/>
  </r>
  <r>
    <s v="O1188"/>
    <s v="Headset"/>
    <x v="0"/>
    <n v="3"/>
    <n v="2500"/>
    <n v="7500"/>
  </r>
  <r>
    <s v="O1188"/>
    <s v="Keyboard"/>
    <x v="0"/>
    <n v="2"/>
    <n v="1500"/>
    <n v="3000"/>
  </r>
  <r>
    <s v="O1189"/>
    <s v="Headset"/>
    <x v="0"/>
    <n v="2"/>
    <n v="2500"/>
    <n v="5000"/>
  </r>
  <r>
    <s v="O1189"/>
    <s v="Keyboard"/>
    <x v="0"/>
    <n v="2"/>
    <n v="1500"/>
    <n v="3000"/>
  </r>
  <r>
    <s v="O1190"/>
    <s v="Monitor"/>
    <x v="1"/>
    <n v="4"/>
    <n v="12000"/>
    <n v="48000"/>
  </r>
  <r>
    <s v="O1190"/>
    <s v="Mouse"/>
    <x v="0"/>
    <n v="2"/>
    <n v="500"/>
    <n v="1000"/>
  </r>
  <r>
    <s v="O1190"/>
    <s v="Keyboard"/>
    <x v="0"/>
    <n v="3"/>
    <n v="1500"/>
    <n v="4500"/>
  </r>
  <r>
    <s v="O1191"/>
    <s v="Headset"/>
    <x v="0"/>
    <n v="5"/>
    <n v="2500"/>
    <n v="12500"/>
  </r>
  <r>
    <s v="O1191"/>
    <s v="Chair"/>
    <x v="2"/>
    <n v="4"/>
    <n v="7000"/>
    <n v="28000"/>
  </r>
  <r>
    <s v="O1192"/>
    <s v="Keyboard"/>
    <x v="0"/>
    <n v="2"/>
    <n v="1500"/>
    <n v="3000"/>
  </r>
  <r>
    <s v="O1192"/>
    <s v="Keyboard"/>
    <x v="0"/>
    <n v="3"/>
    <n v="1500"/>
    <n v="4500"/>
  </r>
  <r>
    <s v="O1192"/>
    <s v="Monitor"/>
    <x v="1"/>
    <n v="5"/>
    <n v="12000"/>
    <n v="60000"/>
  </r>
  <r>
    <s v="O1193"/>
    <s v="Headset"/>
    <x v="0"/>
    <n v="2"/>
    <n v="2500"/>
    <n v="5000"/>
  </r>
  <r>
    <s v="O1194"/>
    <s v="Headset"/>
    <x v="0"/>
    <n v="3"/>
    <n v="2500"/>
    <n v="7500"/>
  </r>
  <r>
    <s v="O1195"/>
    <s v="Keyboard"/>
    <x v="0"/>
    <n v="5"/>
    <n v="1500"/>
    <n v="7500"/>
  </r>
  <r>
    <s v="O1196"/>
    <s v="Chair"/>
    <x v="2"/>
    <n v="3"/>
    <n v="7000"/>
    <n v="21000"/>
  </r>
  <r>
    <s v="O1196"/>
    <s v="Laptop"/>
    <x v="1"/>
    <n v="1"/>
    <n v="55000"/>
    <n v="55000"/>
  </r>
  <r>
    <s v="O1197"/>
    <s v="Keyboard"/>
    <x v="0"/>
    <n v="4"/>
    <n v="1500"/>
    <n v="6000"/>
  </r>
  <r>
    <s v="O1197"/>
    <s v="Keyboard"/>
    <x v="0"/>
    <n v="2"/>
    <n v="1500"/>
    <n v="3000"/>
  </r>
  <r>
    <s v="O1197"/>
    <s v="Chair"/>
    <x v="2"/>
    <n v="3"/>
    <n v="7000"/>
    <n v="21000"/>
  </r>
  <r>
    <s v="O1198"/>
    <s v="Headset"/>
    <x v="0"/>
    <n v="4"/>
    <n v="2500"/>
    <n v="10000"/>
  </r>
  <r>
    <s v="O1198"/>
    <s v="Monitor"/>
    <x v="1"/>
    <n v="4"/>
    <n v="12000"/>
    <n v="48000"/>
  </r>
  <r>
    <s v="O1199"/>
    <s v="Chair"/>
    <x v="2"/>
    <n v="5"/>
    <n v="7000"/>
    <n v="35000"/>
  </r>
  <r>
    <s v="O1199"/>
    <s v="Headset"/>
    <x v="0"/>
    <n v="3"/>
    <n v="2500"/>
    <n v="7500"/>
  </r>
  <r>
    <s v="O1199"/>
    <s v="Headset"/>
    <x v="0"/>
    <n v="4"/>
    <n v="2500"/>
    <n v="10000"/>
  </r>
  <r>
    <s v="O1200"/>
    <s v="Monitor"/>
    <x v="1"/>
    <n v="1"/>
    <n v="12000"/>
    <n v="12000"/>
  </r>
  <r>
    <s v="O1200"/>
    <s v="Table"/>
    <x v="2"/>
    <n v="4"/>
    <n v="15000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C685-756C-4093-BE34-600139762FC6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I7:J10" firstHeaderRow="1" firstDataRow="1" firstDataCol="1"/>
  <pivotFields count="4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showAll="0"/>
    <pivotField numFmtId="164" showAll="0"/>
    <pivotField name="Incompleted Orders" axis="axisRow" showAll="0">
      <items count="4">
        <item x="2"/>
        <item h="1" x="1"/>
        <item x="0"/>
        <item t="default"/>
      </items>
    </pivotField>
  </pivotFields>
  <rowFields count="1">
    <field x="3"/>
  </rowFields>
  <rowItems count="3">
    <i>
      <x/>
    </i>
    <i>
      <x v="2"/>
    </i>
    <i t="grand">
      <x/>
    </i>
  </rowItems>
  <colItems count="1">
    <i/>
  </colItems>
  <dataFields count="1">
    <dataField name="Count of Custom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34B23-0A8C-4C5B-BFA9-AB4689F65E5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I19:J23" firstHeaderRow="1" firstDataRow="1" firstDataCol="1"/>
  <pivotFields count="6"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 Sales" fld="5" baseField="0" baseItem="0"/>
  </dataFields>
  <formats count="4">
    <format dxfId="7">
      <pivotArea collapsedLevelsAreSubtotals="1" fieldPosition="0">
        <references count="1">
          <reference field="2" count="1">
            <x v="0"/>
          </reference>
        </references>
      </pivotArea>
    </format>
    <format dxfId="6">
      <pivotArea collapsedLevelsAreSubtotals="1" fieldPosition="0">
        <references count="1">
          <reference field="2" count="1">
            <x v="1"/>
          </reference>
        </references>
      </pivotArea>
    </format>
    <format dxfId="5">
      <pivotArea collapsedLevelsAreSubtotals="1" fieldPosition="0">
        <references count="1">
          <reference field="2" count="1">
            <x v="2"/>
          </reference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43BB6-1897-47AC-8440-5A9432C8D766}" name="Table1" displayName="Table1" ref="A1:D51" totalsRowShown="0">
  <autoFilter ref="A1:D51" xr:uid="{75043BB6-1897-47AC-8440-5A9432C8D766}"/>
  <tableColumns count="4">
    <tableColumn id="1" xr3:uid="{3AED17C4-89D4-40BB-8AE3-0D9357B0F560}" name="CustomerID"/>
    <tableColumn id="2" xr3:uid="{5664B61A-627A-4F75-A9ED-10A7CF468E4E}" name="CustomerName"/>
    <tableColumn id="3" xr3:uid="{304EE371-B01C-4C87-9769-CC58BC144E55}" name="City"/>
    <tableColumn id="4" xr3:uid="{CA7B0136-253A-4DD4-A8D0-03863140066F}" name="Segm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50FC1-E705-41F8-BF56-8321B10BE992}" name="Table2" displayName="Table2" ref="A1:D201" totalsRowShown="0">
  <autoFilter ref="A1:D201" xr:uid="{F1A50FC1-E705-41F8-BF56-8321B10BE992}"/>
  <tableColumns count="4">
    <tableColumn id="1" xr3:uid="{D1207E21-93AC-4A62-9E0D-35842E975179}" name="OrderID"/>
    <tableColumn id="2" xr3:uid="{DFB46CA7-4577-44AE-B022-221847875A72}" name="CustomerID"/>
    <tableColumn id="3" xr3:uid="{14ACCA9B-5009-4FFF-8F0E-00409ECED6EE}" name="OrderDate" dataDxfId="15"/>
    <tableColumn id="4" xr3:uid="{B6BCF836-4F8D-4C26-94D5-9F1CAB622384}" name="Order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8BBF0A-63B0-494D-8093-FFB3CCA1D684}" name="Table3" displayName="Table3" ref="A1:F419" totalsRowCount="1">
  <autoFilter ref="A1:F418" xr:uid="{848BBF0A-63B0-494D-8093-FFB3CCA1D684}"/>
  <tableColumns count="6">
    <tableColumn id="1" xr3:uid="{87414349-5575-4E15-AD8A-F79D5F35A55F}" name="OrderID"/>
    <tableColumn id="2" xr3:uid="{C73F5C89-448E-4954-868F-9952CB36DCF5}" name="Product"/>
    <tableColumn id="3" xr3:uid="{AC2111B1-ABB6-42D2-A0A5-79D324B16811}" name="Category"/>
    <tableColumn id="4" xr3:uid="{7D424439-F7CD-4AED-A47E-91C929CE80F7}" name="Quantity"/>
    <tableColumn id="5" xr3:uid="{A1BA2B93-BFCF-4C1E-B900-EB0CBE592900}" name="UnitPrice" dataDxfId="14" totalsRowDxfId="12"/>
    <tableColumn id="6" xr3:uid="{234543D3-3561-4BFB-9A9D-E59668A498FF}" name="TotalSales" totalsRowFunction="custom" dataDxfId="13" totalsRowDxfId="11">
      <calculatedColumnFormula>Table3[[#This Row],[UnitPrice]]*Table3[[#This Row],[Quantity]]</calculatedColumnFormula>
      <totalsRowFormula>SUM(Table3[TotalSales])</totalsRow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K20" sqref="K20"/>
    </sheetView>
  </sheetViews>
  <sheetFormatPr defaultRowHeight="14.4" x14ac:dyDescent="0.55000000000000004"/>
  <cols>
    <col min="1" max="1" width="12.68359375" customWidth="1"/>
    <col min="2" max="2" width="22.3125" customWidth="1"/>
    <col min="3" max="3" width="17.68359375" customWidth="1"/>
    <col min="4" max="4" width="19.8945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10</v>
      </c>
      <c r="D3" t="s">
        <v>7</v>
      </c>
    </row>
    <row r="4" spans="1:4" x14ac:dyDescent="0.55000000000000004">
      <c r="A4" t="s">
        <v>11</v>
      </c>
      <c r="B4" t="s">
        <v>12</v>
      </c>
      <c r="C4" t="s">
        <v>10</v>
      </c>
      <c r="D4" t="s">
        <v>13</v>
      </c>
    </row>
    <row r="5" spans="1:4" x14ac:dyDescent="0.55000000000000004">
      <c r="A5" t="s">
        <v>14</v>
      </c>
      <c r="B5" t="s">
        <v>15</v>
      </c>
      <c r="C5" t="s">
        <v>6</v>
      </c>
      <c r="D5" t="s">
        <v>13</v>
      </c>
    </row>
    <row r="6" spans="1:4" x14ac:dyDescent="0.55000000000000004">
      <c r="A6" t="s">
        <v>16</v>
      </c>
      <c r="B6" t="s">
        <v>17</v>
      </c>
      <c r="C6" t="s">
        <v>6</v>
      </c>
      <c r="D6" t="s">
        <v>18</v>
      </c>
    </row>
    <row r="7" spans="1:4" x14ac:dyDescent="0.55000000000000004">
      <c r="A7" t="s">
        <v>19</v>
      </c>
      <c r="B7" t="s">
        <v>20</v>
      </c>
      <c r="C7" t="s">
        <v>21</v>
      </c>
      <c r="D7" t="s">
        <v>7</v>
      </c>
    </row>
    <row r="8" spans="1:4" x14ac:dyDescent="0.55000000000000004">
      <c r="A8" t="s">
        <v>22</v>
      </c>
      <c r="B8" t="s">
        <v>23</v>
      </c>
      <c r="C8" t="s">
        <v>6</v>
      </c>
      <c r="D8" t="s">
        <v>13</v>
      </c>
    </row>
    <row r="9" spans="1:4" x14ac:dyDescent="0.55000000000000004">
      <c r="A9" t="s">
        <v>24</v>
      </c>
      <c r="B9" t="s">
        <v>25</v>
      </c>
      <c r="C9" t="s">
        <v>26</v>
      </c>
      <c r="D9" t="s">
        <v>18</v>
      </c>
    </row>
    <row r="10" spans="1:4" x14ac:dyDescent="0.55000000000000004">
      <c r="A10" t="s">
        <v>27</v>
      </c>
      <c r="B10" t="s">
        <v>28</v>
      </c>
      <c r="C10" t="s">
        <v>21</v>
      </c>
      <c r="D10" t="s">
        <v>18</v>
      </c>
    </row>
    <row r="11" spans="1:4" x14ac:dyDescent="0.55000000000000004">
      <c r="A11" t="s">
        <v>29</v>
      </c>
      <c r="B11" t="s">
        <v>30</v>
      </c>
      <c r="C11" t="s">
        <v>31</v>
      </c>
      <c r="D11" t="s">
        <v>18</v>
      </c>
    </row>
    <row r="12" spans="1:4" x14ac:dyDescent="0.55000000000000004">
      <c r="A12" t="s">
        <v>32</v>
      </c>
      <c r="B12" t="s">
        <v>33</v>
      </c>
      <c r="C12" t="s">
        <v>21</v>
      </c>
      <c r="D12" t="s">
        <v>13</v>
      </c>
    </row>
    <row r="13" spans="1:4" x14ac:dyDescent="0.55000000000000004">
      <c r="A13" t="s">
        <v>34</v>
      </c>
      <c r="B13" t="s">
        <v>35</v>
      </c>
      <c r="C13" t="s">
        <v>36</v>
      </c>
      <c r="D13" t="s">
        <v>13</v>
      </c>
    </row>
    <row r="14" spans="1:4" x14ac:dyDescent="0.55000000000000004">
      <c r="A14" t="s">
        <v>37</v>
      </c>
      <c r="B14" t="s">
        <v>38</v>
      </c>
      <c r="C14" t="s">
        <v>6</v>
      </c>
      <c r="D14" t="s">
        <v>7</v>
      </c>
    </row>
    <row r="15" spans="1:4" x14ac:dyDescent="0.55000000000000004">
      <c r="A15" t="s">
        <v>39</v>
      </c>
      <c r="B15" t="s">
        <v>40</v>
      </c>
      <c r="C15" t="s">
        <v>26</v>
      </c>
      <c r="D15" t="s">
        <v>18</v>
      </c>
    </row>
    <row r="16" spans="1:4" x14ac:dyDescent="0.55000000000000004">
      <c r="A16" t="s">
        <v>41</v>
      </c>
      <c r="B16" t="s">
        <v>42</v>
      </c>
      <c r="C16" t="s">
        <v>26</v>
      </c>
      <c r="D16" t="s">
        <v>7</v>
      </c>
    </row>
    <row r="17" spans="1:4" x14ac:dyDescent="0.55000000000000004">
      <c r="A17" t="s">
        <v>43</v>
      </c>
      <c r="B17" t="s">
        <v>44</v>
      </c>
      <c r="C17" t="s">
        <v>6</v>
      </c>
      <c r="D17" t="s">
        <v>7</v>
      </c>
    </row>
    <row r="18" spans="1:4" x14ac:dyDescent="0.55000000000000004">
      <c r="A18" t="s">
        <v>45</v>
      </c>
      <c r="B18" t="s">
        <v>46</v>
      </c>
      <c r="C18" t="s">
        <v>26</v>
      </c>
      <c r="D18" t="s">
        <v>7</v>
      </c>
    </row>
    <row r="19" spans="1:4" x14ac:dyDescent="0.55000000000000004">
      <c r="A19" t="s">
        <v>47</v>
      </c>
      <c r="B19" t="s">
        <v>48</v>
      </c>
      <c r="C19" t="s">
        <v>6</v>
      </c>
      <c r="D19" t="s">
        <v>13</v>
      </c>
    </row>
    <row r="20" spans="1:4" x14ac:dyDescent="0.55000000000000004">
      <c r="A20" t="s">
        <v>49</v>
      </c>
      <c r="B20" t="s">
        <v>50</v>
      </c>
      <c r="C20" t="s">
        <v>21</v>
      </c>
      <c r="D20" t="s">
        <v>18</v>
      </c>
    </row>
    <row r="21" spans="1:4" x14ac:dyDescent="0.55000000000000004">
      <c r="A21" t="s">
        <v>51</v>
      </c>
      <c r="B21" t="s">
        <v>52</v>
      </c>
      <c r="C21" t="s">
        <v>21</v>
      </c>
      <c r="D21" t="s">
        <v>7</v>
      </c>
    </row>
    <row r="22" spans="1:4" x14ac:dyDescent="0.55000000000000004">
      <c r="A22" t="s">
        <v>53</v>
      </c>
      <c r="B22" t="s">
        <v>54</v>
      </c>
      <c r="C22" t="s">
        <v>26</v>
      </c>
      <c r="D22" t="s">
        <v>13</v>
      </c>
    </row>
    <row r="23" spans="1:4" x14ac:dyDescent="0.55000000000000004">
      <c r="A23" t="s">
        <v>55</v>
      </c>
      <c r="B23" t="s">
        <v>56</v>
      </c>
      <c r="C23" t="s">
        <v>26</v>
      </c>
      <c r="D23" t="s">
        <v>7</v>
      </c>
    </row>
    <row r="24" spans="1:4" x14ac:dyDescent="0.55000000000000004">
      <c r="A24" t="s">
        <v>57</v>
      </c>
      <c r="B24" t="s">
        <v>58</v>
      </c>
      <c r="C24" t="s">
        <v>10</v>
      </c>
      <c r="D24" t="s">
        <v>7</v>
      </c>
    </row>
    <row r="25" spans="1:4" x14ac:dyDescent="0.55000000000000004">
      <c r="A25" t="s">
        <v>59</v>
      </c>
      <c r="B25" t="s">
        <v>60</v>
      </c>
      <c r="C25" t="s">
        <v>26</v>
      </c>
      <c r="D25" t="s">
        <v>13</v>
      </c>
    </row>
    <row r="26" spans="1:4" x14ac:dyDescent="0.55000000000000004">
      <c r="A26" t="s">
        <v>61</v>
      </c>
      <c r="B26" t="s">
        <v>62</v>
      </c>
      <c r="C26" t="s">
        <v>6</v>
      </c>
      <c r="D26" t="s">
        <v>13</v>
      </c>
    </row>
    <row r="27" spans="1:4" x14ac:dyDescent="0.55000000000000004">
      <c r="A27" t="s">
        <v>63</v>
      </c>
      <c r="B27" t="s">
        <v>64</v>
      </c>
      <c r="C27" t="s">
        <v>26</v>
      </c>
      <c r="D27" t="s">
        <v>13</v>
      </c>
    </row>
    <row r="28" spans="1:4" x14ac:dyDescent="0.55000000000000004">
      <c r="A28" t="s">
        <v>65</v>
      </c>
      <c r="B28" t="s">
        <v>66</v>
      </c>
      <c r="C28" t="s">
        <v>21</v>
      </c>
      <c r="D28" t="s">
        <v>7</v>
      </c>
    </row>
    <row r="29" spans="1:4" x14ac:dyDescent="0.55000000000000004">
      <c r="A29" t="s">
        <v>67</v>
      </c>
      <c r="B29" t="s">
        <v>68</v>
      </c>
      <c r="C29" t="s">
        <v>21</v>
      </c>
      <c r="D29" t="s">
        <v>7</v>
      </c>
    </row>
    <row r="30" spans="1:4" x14ac:dyDescent="0.55000000000000004">
      <c r="A30" t="s">
        <v>69</v>
      </c>
      <c r="B30" t="s">
        <v>70</v>
      </c>
      <c r="C30" t="s">
        <v>21</v>
      </c>
      <c r="D30" t="s">
        <v>7</v>
      </c>
    </row>
    <row r="31" spans="1:4" x14ac:dyDescent="0.55000000000000004">
      <c r="A31" t="s">
        <v>71</v>
      </c>
      <c r="B31" t="s">
        <v>72</v>
      </c>
      <c r="C31" t="s">
        <v>26</v>
      </c>
      <c r="D31" t="s">
        <v>18</v>
      </c>
    </row>
    <row r="32" spans="1:4" x14ac:dyDescent="0.55000000000000004">
      <c r="A32" t="s">
        <v>73</v>
      </c>
      <c r="B32" t="s">
        <v>74</v>
      </c>
      <c r="C32" t="s">
        <v>26</v>
      </c>
      <c r="D32" t="s">
        <v>13</v>
      </c>
    </row>
    <row r="33" spans="1:4" x14ac:dyDescent="0.55000000000000004">
      <c r="A33" t="s">
        <v>75</v>
      </c>
      <c r="B33" t="s">
        <v>76</v>
      </c>
      <c r="C33" t="s">
        <v>26</v>
      </c>
      <c r="D33" t="s">
        <v>7</v>
      </c>
    </row>
    <row r="34" spans="1:4" x14ac:dyDescent="0.55000000000000004">
      <c r="A34" t="s">
        <v>77</v>
      </c>
      <c r="B34" t="s">
        <v>78</v>
      </c>
      <c r="C34" t="s">
        <v>10</v>
      </c>
      <c r="D34" t="s">
        <v>18</v>
      </c>
    </row>
    <row r="35" spans="1:4" x14ac:dyDescent="0.55000000000000004">
      <c r="A35" t="s">
        <v>79</v>
      </c>
      <c r="B35" t="s">
        <v>80</v>
      </c>
      <c r="C35" t="s">
        <v>81</v>
      </c>
      <c r="D35" t="s">
        <v>13</v>
      </c>
    </row>
    <row r="36" spans="1:4" x14ac:dyDescent="0.55000000000000004">
      <c r="A36" t="s">
        <v>82</v>
      </c>
      <c r="B36" t="s">
        <v>83</v>
      </c>
      <c r="C36" t="s">
        <v>21</v>
      </c>
      <c r="D36" t="s">
        <v>13</v>
      </c>
    </row>
    <row r="37" spans="1:4" x14ac:dyDescent="0.55000000000000004">
      <c r="A37" t="s">
        <v>84</v>
      </c>
      <c r="B37" t="s">
        <v>85</v>
      </c>
      <c r="C37" t="s">
        <v>36</v>
      </c>
      <c r="D37" t="s">
        <v>13</v>
      </c>
    </row>
    <row r="38" spans="1:4" x14ac:dyDescent="0.55000000000000004">
      <c r="A38" t="s">
        <v>86</v>
      </c>
      <c r="B38" t="s">
        <v>87</v>
      </c>
      <c r="C38" t="s">
        <v>81</v>
      </c>
      <c r="D38" t="s">
        <v>7</v>
      </c>
    </row>
    <row r="39" spans="1:4" x14ac:dyDescent="0.55000000000000004">
      <c r="A39" t="s">
        <v>88</v>
      </c>
      <c r="B39" t="s">
        <v>89</v>
      </c>
      <c r="C39" t="s">
        <v>81</v>
      </c>
      <c r="D39" t="s">
        <v>18</v>
      </c>
    </row>
    <row r="40" spans="1:4" x14ac:dyDescent="0.55000000000000004">
      <c r="A40" t="s">
        <v>90</v>
      </c>
      <c r="B40" t="s">
        <v>91</v>
      </c>
      <c r="C40" t="s">
        <v>10</v>
      </c>
      <c r="D40" t="s">
        <v>13</v>
      </c>
    </row>
    <row r="41" spans="1:4" x14ac:dyDescent="0.55000000000000004">
      <c r="A41" t="s">
        <v>92</v>
      </c>
      <c r="B41" t="s">
        <v>93</v>
      </c>
      <c r="C41" t="s">
        <v>31</v>
      </c>
      <c r="D41" t="s">
        <v>13</v>
      </c>
    </row>
    <row r="42" spans="1:4" x14ac:dyDescent="0.55000000000000004">
      <c r="A42" t="s">
        <v>94</v>
      </c>
      <c r="B42" t="s">
        <v>95</v>
      </c>
      <c r="C42" t="s">
        <v>36</v>
      </c>
      <c r="D42" t="s">
        <v>18</v>
      </c>
    </row>
    <row r="43" spans="1:4" x14ac:dyDescent="0.55000000000000004">
      <c r="A43" t="s">
        <v>96</v>
      </c>
      <c r="B43" t="s">
        <v>97</v>
      </c>
      <c r="C43" t="s">
        <v>26</v>
      </c>
      <c r="D43" t="s">
        <v>13</v>
      </c>
    </row>
    <row r="44" spans="1:4" x14ac:dyDescent="0.55000000000000004">
      <c r="A44" t="s">
        <v>98</v>
      </c>
      <c r="B44" t="s">
        <v>99</v>
      </c>
      <c r="C44" t="s">
        <v>31</v>
      </c>
      <c r="D44" t="s">
        <v>13</v>
      </c>
    </row>
    <row r="45" spans="1:4" x14ac:dyDescent="0.55000000000000004">
      <c r="A45" t="s">
        <v>100</v>
      </c>
      <c r="B45" t="s">
        <v>101</v>
      </c>
      <c r="C45" t="s">
        <v>10</v>
      </c>
      <c r="D45" t="s">
        <v>13</v>
      </c>
    </row>
    <row r="46" spans="1:4" x14ac:dyDescent="0.55000000000000004">
      <c r="A46" t="s">
        <v>102</v>
      </c>
      <c r="B46" t="s">
        <v>103</v>
      </c>
      <c r="C46" t="s">
        <v>6</v>
      </c>
      <c r="D46" t="s">
        <v>18</v>
      </c>
    </row>
    <row r="47" spans="1:4" x14ac:dyDescent="0.55000000000000004">
      <c r="A47" t="s">
        <v>104</v>
      </c>
      <c r="B47" t="s">
        <v>105</v>
      </c>
      <c r="C47" t="s">
        <v>6</v>
      </c>
      <c r="D47" t="s">
        <v>7</v>
      </c>
    </row>
    <row r="48" spans="1:4" x14ac:dyDescent="0.55000000000000004">
      <c r="A48" t="s">
        <v>106</v>
      </c>
      <c r="B48" t="s">
        <v>107</v>
      </c>
      <c r="C48" t="s">
        <v>26</v>
      </c>
      <c r="D48" t="s">
        <v>13</v>
      </c>
    </row>
    <row r="49" spans="1:4" x14ac:dyDescent="0.55000000000000004">
      <c r="A49" t="s">
        <v>108</v>
      </c>
      <c r="B49" t="s">
        <v>109</v>
      </c>
      <c r="C49" t="s">
        <v>10</v>
      </c>
      <c r="D49" t="s">
        <v>7</v>
      </c>
    </row>
    <row r="50" spans="1:4" x14ac:dyDescent="0.55000000000000004">
      <c r="A50" t="s">
        <v>110</v>
      </c>
      <c r="B50" t="s">
        <v>111</v>
      </c>
      <c r="C50" t="s">
        <v>26</v>
      </c>
      <c r="D50" t="s">
        <v>7</v>
      </c>
    </row>
    <row r="51" spans="1:4" x14ac:dyDescent="0.55000000000000004">
      <c r="A51" t="s">
        <v>112</v>
      </c>
      <c r="B51" t="s">
        <v>113</v>
      </c>
      <c r="C51" t="s">
        <v>81</v>
      </c>
      <c r="D51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selection activeCell="N5" sqref="N5"/>
    </sheetView>
  </sheetViews>
  <sheetFormatPr defaultRowHeight="14.4" x14ac:dyDescent="0.55000000000000004"/>
  <cols>
    <col min="1" max="1" width="9" customWidth="1"/>
    <col min="2" max="2" width="12.15625" customWidth="1"/>
    <col min="3" max="3" width="15.9453125" style="2" customWidth="1"/>
    <col min="4" max="4" width="18.1015625" customWidth="1"/>
    <col min="9" max="9" width="10.20703125" bestFit="1" customWidth="1"/>
    <col min="10" max="10" width="16.05078125" bestFit="1" customWidth="1"/>
  </cols>
  <sheetData>
    <row r="1" spans="1:10" x14ac:dyDescent="0.55000000000000004">
      <c r="A1" t="s">
        <v>114</v>
      </c>
      <c r="B1" t="s">
        <v>0</v>
      </c>
      <c r="C1" s="2" t="s">
        <v>115</v>
      </c>
      <c r="D1" t="s">
        <v>116</v>
      </c>
    </row>
    <row r="2" spans="1:10" x14ac:dyDescent="0.55000000000000004">
      <c r="A2" t="s">
        <v>117</v>
      </c>
      <c r="B2" t="s">
        <v>77</v>
      </c>
      <c r="C2" s="3">
        <v>45463</v>
      </c>
      <c r="D2" t="s">
        <v>118</v>
      </c>
    </row>
    <row r="3" spans="1:10" x14ac:dyDescent="0.55000000000000004">
      <c r="A3" t="s">
        <v>119</v>
      </c>
      <c r="B3" t="s">
        <v>14</v>
      </c>
      <c r="C3" s="3">
        <v>45373</v>
      </c>
      <c r="D3" t="s">
        <v>118</v>
      </c>
    </row>
    <row r="4" spans="1:10" x14ac:dyDescent="0.55000000000000004">
      <c r="A4" t="s">
        <v>120</v>
      </c>
      <c r="B4" t="s">
        <v>34</v>
      </c>
      <c r="C4" s="3">
        <v>45348</v>
      </c>
      <c r="D4" t="s">
        <v>121</v>
      </c>
    </row>
    <row r="5" spans="1:10" x14ac:dyDescent="0.55000000000000004">
      <c r="A5" t="s">
        <v>122</v>
      </c>
      <c r="B5" t="s">
        <v>63</v>
      </c>
      <c r="C5" s="3">
        <v>45372</v>
      </c>
      <c r="D5" t="s">
        <v>121</v>
      </c>
    </row>
    <row r="6" spans="1:10" x14ac:dyDescent="0.55000000000000004">
      <c r="A6" t="s">
        <v>123</v>
      </c>
      <c r="B6" t="s">
        <v>4</v>
      </c>
      <c r="C6" s="3">
        <v>45466</v>
      </c>
      <c r="D6" t="s">
        <v>121</v>
      </c>
    </row>
    <row r="7" spans="1:10" x14ac:dyDescent="0.55000000000000004">
      <c r="A7" t="s">
        <v>124</v>
      </c>
      <c r="B7" t="s">
        <v>94</v>
      </c>
      <c r="C7" s="3">
        <v>45303</v>
      </c>
      <c r="D7" t="s">
        <v>118</v>
      </c>
      <c r="J7" t="s">
        <v>336</v>
      </c>
    </row>
    <row r="8" spans="1:10" x14ac:dyDescent="0.55000000000000004">
      <c r="A8" t="s">
        <v>125</v>
      </c>
      <c r="B8" t="s">
        <v>84</v>
      </c>
      <c r="C8" s="3">
        <v>45469</v>
      </c>
      <c r="D8" t="s">
        <v>121</v>
      </c>
      <c r="I8" s="2" t="s">
        <v>128</v>
      </c>
      <c r="J8" s="4">
        <v>45</v>
      </c>
    </row>
    <row r="9" spans="1:10" x14ac:dyDescent="0.55000000000000004">
      <c r="A9" t="s">
        <v>126</v>
      </c>
      <c r="B9" t="s">
        <v>88</v>
      </c>
      <c r="C9" s="3">
        <v>45428</v>
      </c>
      <c r="D9" t="s">
        <v>118</v>
      </c>
      <c r="I9" s="2" t="s">
        <v>118</v>
      </c>
      <c r="J9" s="4">
        <v>36</v>
      </c>
    </row>
    <row r="10" spans="1:10" x14ac:dyDescent="0.55000000000000004">
      <c r="A10" t="s">
        <v>127</v>
      </c>
      <c r="B10" t="s">
        <v>61</v>
      </c>
      <c r="C10" s="3">
        <v>45429</v>
      </c>
      <c r="D10" t="s">
        <v>128</v>
      </c>
      <c r="I10" s="2" t="s">
        <v>335</v>
      </c>
      <c r="J10" s="4">
        <v>81</v>
      </c>
    </row>
    <row r="11" spans="1:10" x14ac:dyDescent="0.55000000000000004">
      <c r="A11" t="s">
        <v>129</v>
      </c>
      <c r="B11" t="s">
        <v>43</v>
      </c>
      <c r="C11" s="3">
        <v>45329</v>
      </c>
      <c r="D11" t="s">
        <v>118</v>
      </c>
    </row>
    <row r="12" spans="1:10" x14ac:dyDescent="0.55000000000000004">
      <c r="A12" t="s">
        <v>130</v>
      </c>
      <c r="B12" t="s">
        <v>27</v>
      </c>
      <c r="C12" s="3">
        <v>45428</v>
      </c>
      <c r="D12" t="s">
        <v>121</v>
      </c>
    </row>
    <row r="13" spans="1:10" x14ac:dyDescent="0.55000000000000004">
      <c r="A13" t="s">
        <v>131</v>
      </c>
      <c r="B13" t="s">
        <v>14</v>
      </c>
      <c r="C13" s="3">
        <v>45378</v>
      </c>
      <c r="D13" t="s">
        <v>128</v>
      </c>
    </row>
    <row r="14" spans="1:10" x14ac:dyDescent="0.55000000000000004">
      <c r="A14" t="s">
        <v>132</v>
      </c>
      <c r="B14" t="s">
        <v>45</v>
      </c>
      <c r="C14" s="3">
        <v>45401</v>
      </c>
      <c r="D14" t="s">
        <v>121</v>
      </c>
    </row>
    <row r="15" spans="1:10" x14ac:dyDescent="0.55000000000000004">
      <c r="A15" t="s">
        <v>133</v>
      </c>
      <c r="B15" t="s">
        <v>108</v>
      </c>
      <c r="C15" s="3">
        <v>45305</v>
      </c>
      <c r="D15" t="s">
        <v>121</v>
      </c>
    </row>
    <row r="16" spans="1:10" x14ac:dyDescent="0.55000000000000004">
      <c r="A16" t="s">
        <v>134</v>
      </c>
      <c r="B16" t="s">
        <v>88</v>
      </c>
      <c r="C16" s="3">
        <v>45315</v>
      </c>
      <c r="D16" t="s">
        <v>121</v>
      </c>
    </row>
    <row r="17" spans="1:4" x14ac:dyDescent="0.55000000000000004">
      <c r="A17" t="s">
        <v>135</v>
      </c>
      <c r="B17" t="s">
        <v>8</v>
      </c>
      <c r="C17" s="3">
        <v>45385</v>
      </c>
      <c r="D17" t="s">
        <v>121</v>
      </c>
    </row>
    <row r="18" spans="1:4" x14ac:dyDescent="0.55000000000000004">
      <c r="A18" t="s">
        <v>136</v>
      </c>
      <c r="B18" t="s">
        <v>41</v>
      </c>
      <c r="C18" s="3">
        <v>45407</v>
      </c>
      <c r="D18" t="s">
        <v>121</v>
      </c>
    </row>
    <row r="19" spans="1:4" x14ac:dyDescent="0.55000000000000004">
      <c r="A19" t="s">
        <v>137</v>
      </c>
      <c r="B19" t="s">
        <v>8</v>
      </c>
      <c r="C19" s="3">
        <v>45377</v>
      </c>
      <c r="D19" t="s">
        <v>121</v>
      </c>
    </row>
    <row r="20" spans="1:4" x14ac:dyDescent="0.55000000000000004">
      <c r="A20" t="s">
        <v>138</v>
      </c>
      <c r="B20" t="s">
        <v>34</v>
      </c>
      <c r="C20" s="3">
        <v>45448</v>
      </c>
      <c r="D20" t="s">
        <v>121</v>
      </c>
    </row>
    <row r="21" spans="1:4" x14ac:dyDescent="0.55000000000000004">
      <c r="A21" t="s">
        <v>139</v>
      </c>
      <c r="B21" t="s">
        <v>98</v>
      </c>
      <c r="C21" s="3">
        <v>45345</v>
      </c>
      <c r="D21" t="s">
        <v>128</v>
      </c>
    </row>
    <row r="22" spans="1:4" x14ac:dyDescent="0.55000000000000004">
      <c r="A22" t="s">
        <v>140</v>
      </c>
      <c r="B22" t="s">
        <v>29</v>
      </c>
      <c r="C22" s="3">
        <v>45466</v>
      </c>
      <c r="D22" t="s">
        <v>121</v>
      </c>
    </row>
    <row r="23" spans="1:4" x14ac:dyDescent="0.55000000000000004">
      <c r="A23" t="s">
        <v>141</v>
      </c>
      <c r="B23" t="s">
        <v>88</v>
      </c>
      <c r="C23" s="3">
        <v>45413</v>
      </c>
      <c r="D23" t="s">
        <v>121</v>
      </c>
    </row>
    <row r="24" spans="1:4" x14ac:dyDescent="0.55000000000000004">
      <c r="A24" t="s">
        <v>142</v>
      </c>
      <c r="B24" t="s">
        <v>90</v>
      </c>
      <c r="C24" s="3">
        <v>45350</v>
      </c>
      <c r="D24" t="s">
        <v>121</v>
      </c>
    </row>
    <row r="25" spans="1:4" x14ac:dyDescent="0.55000000000000004">
      <c r="A25" t="s">
        <v>143</v>
      </c>
      <c r="B25" t="s">
        <v>27</v>
      </c>
      <c r="C25" s="3">
        <v>45333</v>
      </c>
      <c r="D25" t="s">
        <v>121</v>
      </c>
    </row>
    <row r="26" spans="1:4" x14ac:dyDescent="0.55000000000000004">
      <c r="A26" t="s">
        <v>144</v>
      </c>
      <c r="B26" t="s">
        <v>37</v>
      </c>
      <c r="C26" s="3">
        <v>45354</v>
      </c>
      <c r="D26" t="s">
        <v>118</v>
      </c>
    </row>
    <row r="27" spans="1:4" x14ac:dyDescent="0.55000000000000004">
      <c r="A27" t="s">
        <v>145</v>
      </c>
      <c r="B27" t="s">
        <v>63</v>
      </c>
      <c r="C27" s="3">
        <v>45313</v>
      </c>
      <c r="D27" t="s">
        <v>128</v>
      </c>
    </row>
    <row r="28" spans="1:4" x14ac:dyDescent="0.55000000000000004">
      <c r="A28" t="s">
        <v>146</v>
      </c>
      <c r="B28" t="s">
        <v>59</v>
      </c>
      <c r="C28" s="3">
        <v>45353</v>
      </c>
      <c r="D28" t="s">
        <v>121</v>
      </c>
    </row>
    <row r="29" spans="1:4" x14ac:dyDescent="0.55000000000000004">
      <c r="A29" t="s">
        <v>147</v>
      </c>
      <c r="B29" t="s">
        <v>63</v>
      </c>
      <c r="C29" s="3">
        <v>45309</v>
      </c>
      <c r="D29" t="s">
        <v>118</v>
      </c>
    </row>
    <row r="30" spans="1:4" x14ac:dyDescent="0.55000000000000004">
      <c r="A30" t="s">
        <v>148</v>
      </c>
      <c r="B30" t="s">
        <v>75</v>
      </c>
      <c r="C30" s="3">
        <v>45294</v>
      </c>
      <c r="D30" t="s">
        <v>128</v>
      </c>
    </row>
    <row r="31" spans="1:4" x14ac:dyDescent="0.55000000000000004">
      <c r="A31" t="s">
        <v>149</v>
      </c>
      <c r="B31" t="s">
        <v>47</v>
      </c>
      <c r="C31" s="3">
        <v>45308</v>
      </c>
      <c r="D31" t="s">
        <v>118</v>
      </c>
    </row>
    <row r="32" spans="1:4" x14ac:dyDescent="0.55000000000000004">
      <c r="A32" t="s">
        <v>150</v>
      </c>
      <c r="B32" t="s">
        <v>104</v>
      </c>
      <c r="C32" s="3">
        <v>45362</v>
      </c>
      <c r="D32" t="s">
        <v>121</v>
      </c>
    </row>
    <row r="33" spans="1:4" x14ac:dyDescent="0.55000000000000004">
      <c r="A33" t="s">
        <v>151</v>
      </c>
      <c r="B33" t="s">
        <v>55</v>
      </c>
      <c r="C33" s="3">
        <v>45466</v>
      </c>
      <c r="D33" t="s">
        <v>128</v>
      </c>
    </row>
    <row r="34" spans="1:4" x14ac:dyDescent="0.55000000000000004">
      <c r="A34" t="s">
        <v>152</v>
      </c>
      <c r="B34" t="s">
        <v>51</v>
      </c>
      <c r="C34" s="3">
        <v>45339</v>
      </c>
      <c r="D34" t="s">
        <v>121</v>
      </c>
    </row>
    <row r="35" spans="1:4" x14ac:dyDescent="0.55000000000000004">
      <c r="A35" t="s">
        <v>153</v>
      </c>
      <c r="B35" t="s">
        <v>79</v>
      </c>
      <c r="C35" s="3">
        <v>45419</v>
      </c>
      <c r="D35" t="s">
        <v>121</v>
      </c>
    </row>
    <row r="36" spans="1:4" x14ac:dyDescent="0.55000000000000004">
      <c r="A36" t="s">
        <v>154</v>
      </c>
      <c r="B36" t="s">
        <v>102</v>
      </c>
      <c r="C36" s="3">
        <v>45453</v>
      </c>
      <c r="D36" t="s">
        <v>128</v>
      </c>
    </row>
    <row r="37" spans="1:4" x14ac:dyDescent="0.55000000000000004">
      <c r="A37" t="s">
        <v>155</v>
      </c>
      <c r="B37" t="s">
        <v>61</v>
      </c>
      <c r="C37" s="3">
        <v>45381</v>
      </c>
      <c r="D37" t="s">
        <v>121</v>
      </c>
    </row>
    <row r="38" spans="1:4" x14ac:dyDescent="0.55000000000000004">
      <c r="A38" t="s">
        <v>156</v>
      </c>
      <c r="B38" t="s">
        <v>63</v>
      </c>
      <c r="C38" s="3">
        <v>45296</v>
      </c>
      <c r="D38" t="s">
        <v>121</v>
      </c>
    </row>
    <row r="39" spans="1:4" x14ac:dyDescent="0.55000000000000004">
      <c r="A39" t="s">
        <v>157</v>
      </c>
      <c r="B39" t="s">
        <v>47</v>
      </c>
      <c r="C39" s="3">
        <v>45364</v>
      </c>
      <c r="D39" t="s">
        <v>121</v>
      </c>
    </row>
    <row r="40" spans="1:4" x14ac:dyDescent="0.55000000000000004">
      <c r="A40" t="s">
        <v>158</v>
      </c>
      <c r="B40" t="s">
        <v>75</v>
      </c>
      <c r="C40" s="3">
        <v>45411</v>
      </c>
      <c r="D40" t="s">
        <v>128</v>
      </c>
    </row>
    <row r="41" spans="1:4" x14ac:dyDescent="0.55000000000000004">
      <c r="A41" t="s">
        <v>159</v>
      </c>
      <c r="B41" t="s">
        <v>110</v>
      </c>
      <c r="C41" s="3">
        <v>45448</v>
      </c>
      <c r="D41" t="s">
        <v>118</v>
      </c>
    </row>
    <row r="42" spans="1:4" x14ac:dyDescent="0.55000000000000004">
      <c r="A42" t="s">
        <v>160</v>
      </c>
      <c r="B42" t="s">
        <v>106</v>
      </c>
      <c r="C42" s="3">
        <v>45457</v>
      </c>
      <c r="D42" t="s">
        <v>121</v>
      </c>
    </row>
    <row r="43" spans="1:4" x14ac:dyDescent="0.55000000000000004">
      <c r="A43" t="s">
        <v>161</v>
      </c>
      <c r="B43" t="s">
        <v>69</v>
      </c>
      <c r="C43" s="3">
        <v>45302</v>
      </c>
      <c r="D43" t="s">
        <v>128</v>
      </c>
    </row>
    <row r="44" spans="1:4" x14ac:dyDescent="0.55000000000000004">
      <c r="A44" t="s">
        <v>162</v>
      </c>
      <c r="B44" t="s">
        <v>4</v>
      </c>
      <c r="C44" s="3">
        <v>45313</v>
      </c>
      <c r="D44" t="s">
        <v>121</v>
      </c>
    </row>
    <row r="45" spans="1:4" x14ac:dyDescent="0.55000000000000004">
      <c r="A45" t="s">
        <v>163</v>
      </c>
      <c r="B45" t="s">
        <v>4</v>
      </c>
      <c r="C45" s="3">
        <v>45409</v>
      </c>
      <c r="D45" t="s">
        <v>121</v>
      </c>
    </row>
    <row r="46" spans="1:4" x14ac:dyDescent="0.55000000000000004">
      <c r="A46" t="s">
        <v>164</v>
      </c>
      <c r="B46" t="s">
        <v>65</v>
      </c>
      <c r="C46" s="3">
        <v>45332</v>
      </c>
      <c r="D46" t="s">
        <v>128</v>
      </c>
    </row>
    <row r="47" spans="1:4" x14ac:dyDescent="0.55000000000000004">
      <c r="A47" t="s">
        <v>165</v>
      </c>
      <c r="B47" t="s">
        <v>16</v>
      </c>
      <c r="C47" s="3">
        <v>45449</v>
      </c>
      <c r="D47" t="s">
        <v>128</v>
      </c>
    </row>
    <row r="48" spans="1:4" x14ac:dyDescent="0.55000000000000004">
      <c r="A48" t="s">
        <v>166</v>
      </c>
      <c r="B48" t="s">
        <v>79</v>
      </c>
      <c r="C48" s="3">
        <v>45408</v>
      </c>
      <c r="D48" t="s">
        <v>121</v>
      </c>
    </row>
    <row r="49" spans="1:4" x14ac:dyDescent="0.55000000000000004">
      <c r="A49" t="s">
        <v>167</v>
      </c>
      <c r="B49" t="s">
        <v>82</v>
      </c>
      <c r="C49" s="3">
        <v>45339</v>
      </c>
      <c r="D49" t="s">
        <v>121</v>
      </c>
    </row>
    <row r="50" spans="1:4" x14ac:dyDescent="0.55000000000000004">
      <c r="A50" t="s">
        <v>168</v>
      </c>
      <c r="B50" t="s">
        <v>24</v>
      </c>
      <c r="C50" s="3">
        <v>45319</v>
      </c>
      <c r="D50" t="s">
        <v>121</v>
      </c>
    </row>
    <row r="51" spans="1:4" x14ac:dyDescent="0.55000000000000004">
      <c r="A51" t="s">
        <v>169</v>
      </c>
      <c r="B51" t="s">
        <v>16</v>
      </c>
      <c r="C51" s="3">
        <v>45292</v>
      </c>
      <c r="D51" t="s">
        <v>121</v>
      </c>
    </row>
    <row r="52" spans="1:4" x14ac:dyDescent="0.55000000000000004">
      <c r="A52" t="s">
        <v>170</v>
      </c>
      <c r="B52" t="s">
        <v>98</v>
      </c>
      <c r="C52" s="3">
        <v>45412</v>
      </c>
      <c r="D52" t="s">
        <v>128</v>
      </c>
    </row>
    <row r="53" spans="1:4" x14ac:dyDescent="0.55000000000000004">
      <c r="A53" t="s">
        <v>171</v>
      </c>
      <c r="B53" t="s">
        <v>82</v>
      </c>
      <c r="C53" s="3">
        <v>45367</v>
      </c>
      <c r="D53" t="s">
        <v>118</v>
      </c>
    </row>
    <row r="54" spans="1:4" x14ac:dyDescent="0.55000000000000004">
      <c r="A54" t="s">
        <v>172</v>
      </c>
      <c r="B54" t="s">
        <v>55</v>
      </c>
      <c r="C54" s="3">
        <v>45321</v>
      </c>
      <c r="D54" t="s">
        <v>121</v>
      </c>
    </row>
    <row r="55" spans="1:4" x14ac:dyDescent="0.55000000000000004">
      <c r="A55" t="s">
        <v>173</v>
      </c>
      <c r="B55" t="s">
        <v>29</v>
      </c>
      <c r="C55" s="3">
        <v>45413</v>
      </c>
      <c r="D55" t="s">
        <v>121</v>
      </c>
    </row>
    <row r="56" spans="1:4" x14ac:dyDescent="0.55000000000000004">
      <c r="A56" t="s">
        <v>174</v>
      </c>
      <c r="B56" t="s">
        <v>90</v>
      </c>
      <c r="C56" s="3">
        <v>45325</v>
      </c>
      <c r="D56" t="s">
        <v>118</v>
      </c>
    </row>
    <row r="57" spans="1:4" x14ac:dyDescent="0.55000000000000004">
      <c r="A57" t="s">
        <v>175</v>
      </c>
      <c r="B57" t="s">
        <v>96</v>
      </c>
      <c r="C57" s="3">
        <v>45444</v>
      </c>
      <c r="D57" t="s">
        <v>121</v>
      </c>
    </row>
    <row r="58" spans="1:4" x14ac:dyDescent="0.55000000000000004">
      <c r="A58" t="s">
        <v>176</v>
      </c>
      <c r="B58" t="s">
        <v>104</v>
      </c>
      <c r="C58" s="3">
        <v>45431</v>
      </c>
      <c r="D58" t="s">
        <v>128</v>
      </c>
    </row>
    <row r="59" spans="1:4" x14ac:dyDescent="0.55000000000000004">
      <c r="A59" t="s">
        <v>177</v>
      </c>
      <c r="B59" t="s">
        <v>73</v>
      </c>
      <c r="C59" s="3">
        <v>45362</v>
      </c>
      <c r="D59" t="s">
        <v>121</v>
      </c>
    </row>
    <row r="60" spans="1:4" x14ac:dyDescent="0.55000000000000004">
      <c r="A60" t="s">
        <v>178</v>
      </c>
      <c r="B60" t="s">
        <v>41</v>
      </c>
      <c r="C60" s="3">
        <v>45388</v>
      </c>
      <c r="D60" t="s">
        <v>121</v>
      </c>
    </row>
    <row r="61" spans="1:4" x14ac:dyDescent="0.55000000000000004">
      <c r="A61" t="s">
        <v>179</v>
      </c>
      <c r="B61" t="s">
        <v>90</v>
      </c>
      <c r="C61" s="3">
        <v>45295</v>
      </c>
      <c r="D61" t="s">
        <v>128</v>
      </c>
    </row>
    <row r="62" spans="1:4" x14ac:dyDescent="0.55000000000000004">
      <c r="A62" t="s">
        <v>180</v>
      </c>
      <c r="B62" t="s">
        <v>75</v>
      </c>
      <c r="C62" s="3">
        <v>45408</v>
      </c>
      <c r="D62" t="s">
        <v>121</v>
      </c>
    </row>
    <row r="63" spans="1:4" x14ac:dyDescent="0.55000000000000004">
      <c r="A63" t="s">
        <v>181</v>
      </c>
      <c r="B63" t="s">
        <v>51</v>
      </c>
      <c r="C63" s="3">
        <v>45349</v>
      </c>
      <c r="D63" t="s">
        <v>121</v>
      </c>
    </row>
    <row r="64" spans="1:4" x14ac:dyDescent="0.55000000000000004">
      <c r="A64" t="s">
        <v>182</v>
      </c>
      <c r="B64" t="s">
        <v>67</v>
      </c>
      <c r="C64" s="3">
        <v>45329</v>
      </c>
      <c r="D64" t="s">
        <v>128</v>
      </c>
    </row>
    <row r="65" spans="1:4" x14ac:dyDescent="0.55000000000000004">
      <c r="A65" t="s">
        <v>183</v>
      </c>
      <c r="B65" t="s">
        <v>110</v>
      </c>
      <c r="C65" s="3">
        <v>45399</v>
      </c>
      <c r="D65" t="s">
        <v>118</v>
      </c>
    </row>
    <row r="66" spans="1:4" x14ac:dyDescent="0.55000000000000004">
      <c r="A66" t="s">
        <v>184</v>
      </c>
      <c r="B66" t="s">
        <v>96</v>
      </c>
      <c r="C66" s="3">
        <v>45356</v>
      </c>
      <c r="D66" t="s">
        <v>121</v>
      </c>
    </row>
    <row r="67" spans="1:4" x14ac:dyDescent="0.55000000000000004">
      <c r="A67" t="s">
        <v>185</v>
      </c>
      <c r="B67" t="s">
        <v>69</v>
      </c>
      <c r="C67" s="3">
        <v>45367</v>
      </c>
      <c r="D67" t="s">
        <v>121</v>
      </c>
    </row>
    <row r="68" spans="1:4" x14ac:dyDescent="0.55000000000000004">
      <c r="A68" t="s">
        <v>186</v>
      </c>
      <c r="B68" t="s">
        <v>11</v>
      </c>
      <c r="C68" s="3">
        <v>45463</v>
      </c>
      <c r="D68" t="s">
        <v>121</v>
      </c>
    </row>
    <row r="69" spans="1:4" x14ac:dyDescent="0.55000000000000004">
      <c r="A69" t="s">
        <v>187</v>
      </c>
      <c r="B69" t="s">
        <v>100</v>
      </c>
      <c r="C69" s="3">
        <v>45350</v>
      </c>
      <c r="D69" t="s">
        <v>121</v>
      </c>
    </row>
    <row r="70" spans="1:4" x14ac:dyDescent="0.55000000000000004">
      <c r="A70" t="s">
        <v>188</v>
      </c>
      <c r="B70" t="s">
        <v>63</v>
      </c>
      <c r="C70" s="3">
        <v>45448</v>
      </c>
      <c r="D70" t="s">
        <v>121</v>
      </c>
    </row>
    <row r="71" spans="1:4" x14ac:dyDescent="0.55000000000000004">
      <c r="A71" t="s">
        <v>189</v>
      </c>
      <c r="B71" t="s">
        <v>84</v>
      </c>
      <c r="C71" s="3">
        <v>45459</v>
      </c>
      <c r="D71" t="s">
        <v>128</v>
      </c>
    </row>
    <row r="72" spans="1:4" x14ac:dyDescent="0.55000000000000004">
      <c r="A72" t="s">
        <v>190</v>
      </c>
      <c r="B72" t="s">
        <v>108</v>
      </c>
      <c r="C72" s="3">
        <v>45416</v>
      </c>
      <c r="D72" t="s">
        <v>118</v>
      </c>
    </row>
    <row r="73" spans="1:4" x14ac:dyDescent="0.55000000000000004">
      <c r="A73" t="s">
        <v>191</v>
      </c>
      <c r="B73" t="s">
        <v>4</v>
      </c>
      <c r="C73" s="3">
        <v>45400</v>
      </c>
      <c r="D73" t="s">
        <v>118</v>
      </c>
    </row>
    <row r="74" spans="1:4" x14ac:dyDescent="0.55000000000000004">
      <c r="A74" t="s">
        <v>192</v>
      </c>
      <c r="B74" t="s">
        <v>79</v>
      </c>
      <c r="C74" s="3">
        <v>45304</v>
      </c>
      <c r="D74" t="s">
        <v>121</v>
      </c>
    </row>
    <row r="75" spans="1:4" x14ac:dyDescent="0.55000000000000004">
      <c r="A75" t="s">
        <v>193</v>
      </c>
      <c r="B75" t="s">
        <v>102</v>
      </c>
      <c r="C75" s="3">
        <v>45351</v>
      </c>
      <c r="D75" t="s">
        <v>128</v>
      </c>
    </row>
    <row r="76" spans="1:4" x14ac:dyDescent="0.55000000000000004">
      <c r="A76" t="s">
        <v>194</v>
      </c>
      <c r="B76" t="s">
        <v>63</v>
      </c>
      <c r="C76" s="3">
        <v>45448</v>
      </c>
      <c r="D76" t="s">
        <v>121</v>
      </c>
    </row>
    <row r="77" spans="1:4" x14ac:dyDescent="0.55000000000000004">
      <c r="A77" t="s">
        <v>195</v>
      </c>
      <c r="B77" t="s">
        <v>94</v>
      </c>
      <c r="C77" s="3">
        <v>45294</v>
      </c>
      <c r="D77" t="s">
        <v>121</v>
      </c>
    </row>
    <row r="78" spans="1:4" x14ac:dyDescent="0.55000000000000004">
      <c r="A78" t="s">
        <v>196</v>
      </c>
      <c r="B78" t="s">
        <v>59</v>
      </c>
      <c r="C78" s="3">
        <v>45322</v>
      </c>
      <c r="D78" t="s">
        <v>121</v>
      </c>
    </row>
    <row r="79" spans="1:4" x14ac:dyDescent="0.55000000000000004">
      <c r="A79" t="s">
        <v>197</v>
      </c>
      <c r="B79" t="s">
        <v>96</v>
      </c>
      <c r="C79" s="3">
        <v>45296</v>
      </c>
      <c r="D79" t="s">
        <v>118</v>
      </c>
    </row>
    <row r="80" spans="1:4" x14ac:dyDescent="0.55000000000000004">
      <c r="A80" t="s">
        <v>198</v>
      </c>
      <c r="B80" t="s">
        <v>104</v>
      </c>
      <c r="C80" s="3">
        <v>45330</v>
      </c>
      <c r="D80" t="s">
        <v>121</v>
      </c>
    </row>
    <row r="81" spans="1:4" x14ac:dyDescent="0.55000000000000004">
      <c r="A81" t="s">
        <v>199</v>
      </c>
      <c r="B81" t="s">
        <v>8</v>
      </c>
      <c r="C81" s="3">
        <v>45355</v>
      </c>
      <c r="D81" t="s">
        <v>118</v>
      </c>
    </row>
    <row r="82" spans="1:4" x14ac:dyDescent="0.55000000000000004">
      <c r="A82" t="s">
        <v>200</v>
      </c>
      <c r="B82" t="s">
        <v>73</v>
      </c>
      <c r="C82" s="3">
        <v>45453</v>
      </c>
      <c r="D82" t="s">
        <v>121</v>
      </c>
    </row>
    <row r="83" spans="1:4" x14ac:dyDescent="0.55000000000000004">
      <c r="A83" t="s">
        <v>201</v>
      </c>
      <c r="B83" t="s">
        <v>37</v>
      </c>
      <c r="C83" s="3">
        <v>45465</v>
      </c>
      <c r="D83" t="s">
        <v>128</v>
      </c>
    </row>
    <row r="84" spans="1:4" x14ac:dyDescent="0.55000000000000004">
      <c r="A84" t="s">
        <v>202</v>
      </c>
      <c r="B84" t="s">
        <v>82</v>
      </c>
      <c r="C84" s="3">
        <v>45377</v>
      </c>
      <c r="D84" t="s">
        <v>121</v>
      </c>
    </row>
    <row r="85" spans="1:4" x14ac:dyDescent="0.55000000000000004">
      <c r="A85" t="s">
        <v>203</v>
      </c>
      <c r="B85" t="s">
        <v>110</v>
      </c>
      <c r="C85" s="3">
        <v>45323</v>
      </c>
      <c r="D85" t="s">
        <v>121</v>
      </c>
    </row>
    <row r="86" spans="1:4" x14ac:dyDescent="0.55000000000000004">
      <c r="A86" t="s">
        <v>204</v>
      </c>
      <c r="B86" t="s">
        <v>69</v>
      </c>
      <c r="C86" s="3">
        <v>45321</v>
      </c>
      <c r="D86" t="s">
        <v>121</v>
      </c>
    </row>
    <row r="87" spans="1:4" x14ac:dyDescent="0.55000000000000004">
      <c r="A87" t="s">
        <v>205</v>
      </c>
      <c r="B87" t="s">
        <v>106</v>
      </c>
      <c r="C87" s="3">
        <v>45322</v>
      </c>
      <c r="D87" t="s">
        <v>118</v>
      </c>
    </row>
    <row r="88" spans="1:4" x14ac:dyDescent="0.55000000000000004">
      <c r="A88" t="s">
        <v>206</v>
      </c>
      <c r="B88" t="s">
        <v>69</v>
      </c>
      <c r="C88" s="3">
        <v>45327</v>
      </c>
      <c r="D88" t="s">
        <v>128</v>
      </c>
    </row>
    <row r="89" spans="1:4" x14ac:dyDescent="0.55000000000000004">
      <c r="A89" t="s">
        <v>207</v>
      </c>
      <c r="B89" t="s">
        <v>24</v>
      </c>
      <c r="C89" s="3">
        <v>45392</v>
      </c>
      <c r="D89" t="s">
        <v>121</v>
      </c>
    </row>
    <row r="90" spans="1:4" x14ac:dyDescent="0.55000000000000004">
      <c r="A90" t="s">
        <v>208</v>
      </c>
      <c r="B90" t="s">
        <v>49</v>
      </c>
      <c r="C90" s="3">
        <v>45436</v>
      </c>
      <c r="D90" t="s">
        <v>128</v>
      </c>
    </row>
    <row r="91" spans="1:4" x14ac:dyDescent="0.55000000000000004">
      <c r="A91" t="s">
        <v>209</v>
      </c>
      <c r="B91" t="s">
        <v>19</v>
      </c>
      <c r="C91" s="3">
        <v>45299</v>
      </c>
      <c r="D91" t="s">
        <v>121</v>
      </c>
    </row>
    <row r="92" spans="1:4" x14ac:dyDescent="0.55000000000000004">
      <c r="A92" t="s">
        <v>210</v>
      </c>
      <c r="B92" t="s">
        <v>98</v>
      </c>
      <c r="C92" s="3">
        <v>45442</v>
      </c>
      <c r="D92" t="s">
        <v>128</v>
      </c>
    </row>
    <row r="93" spans="1:4" x14ac:dyDescent="0.55000000000000004">
      <c r="A93" t="s">
        <v>211</v>
      </c>
      <c r="B93" t="s">
        <v>53</v>
      </c>
      <c r="C93" s="3">
        <v>45311</v>
      </c>
      <c r="D93" t="s">
        <v>121</v>
      </c>
    </row>
    <row r="94" spans="1:4" x14ac:dyDescent="0.55000000000000004">
      <c r="A94" t="s">
        <v>212</v>
      </c>
      <c r="B94" t="s">
        <v>34</v>
      </c>
      <c r="C94" s="3">
        <v>45405</v>
      </c>
      <c r="D94" t="s">
        <v>121</v>
      </c>
    </row>
    <row r="95" spans="1:4" x14ac:dyDescent="0.55000000000000004">
      <c r="A95" t="s">
        <v>213</v>
      </c>
      <c r="B95" t="s">
        <v>32</v>
      </c>
      <c r="C95" s="3">
        <v>45347</v>
      </c>
      <c r="D95" t="s">
        <v>121</v>
      </c>
    </row>
    <row r="96" spans="1:4" x14ac:dyDescent="0.55000000000000004">
      <c r="A96" t="s">
        <v>214</v>
      </c>
      <c r="B96" t="s">
        <v>43</v>
      </c>
      <c r="C96" s="3">
        <v>45367</v>
      </c>
      <c r="D96" t="s">
        <v>118</v>
      </c>
    </row>
    <row r="97" spans="1:4" x14ac:dyDescent="0.55000000000000004">
      <c r="A97" t="s">
        <v>215</v>
      </c>
      <c r="B97" t="s">
        <v>67</v>
      </c>
      <c r="C97" s="3">
        <v>45471</v>
      </c>
      <c r="D97" t="s">
        <v>118</v>
      </c>
    </row>
    <row r="98" spans="1:4" x14ac:dyDescent="0.55000000000000004">
      <c r="A98" t="s">
        <v>216</v>
      </c>
      <c r="B98" t="s">
        <v>104</v>
      </c>
      <c r="C98" s="3">
        <v>45309</v>
      </c>
      <c r="D98" t="s">
        <v>118</v>
      </c>
    </row>
    <row r="99" spans="1:4" x14ac:dyDescent="0.55000000000000004">
      <c r="A99" t="s">
        <v>217</v>
      </c>
      <c r="B99" t="s">
        <v>37</v>
      </c>
      <c r="C99" s="3">
        <v>45442</v>
      </c>
      <c r="D99" t="s">
        <v>121</v>
      </c>
    </row>
    <row r="100" spans="1:4" x14ac:dyDescent="0.55000000000000004">
      <c r="A100" t="s">
        <v>218</v>
      </c>
      <c r="B100" t="s">
        <v>39</v>
      </c>
      <c r="C100" s="3">
        <v>45414</v>
      </c>
      <c r="D100" t="s">
        <v>121</v>
      </c>
    </row>
    <row r="101" spans="1:4" x14ac:dyDescent="0.55000000000000004">
      <c r="A101" t="s">
        <v>219</v>
      </c>
      <c r="B101" t="s">
        <v>104</v>
      </c>
      <c r="C101" s="3">
        <v>45457</v>
      </c>
      <c r="D101" t="s">
        <v>118</v>
      </c>
    </row>
    <row r="102" spans="1:4" x14ac:dyDescent="0.55000000000000004">
      <c r="A102" t="s">
        <v>220</v>
      </c>
      <c r="B102" t="s">
        <v>41</v>
      </c>
      <c r="C102" s="3">
        <v>45375</v>
      </c>
      <c r="D102" t="s">
        <v>128</v>
      </c>
    </row>
    <row r="103" spans="1:4" x14ac:dyDescent="0.55000000000000004">
      <c r="A103" t="s">
        <v>221</v>
      </c>
      <c r="B103" t="s">
        <v>8</v>
      </c>
      <c r="C103" s="3">
        <v>45457</v>
      </c>
      <c r="D103" t="s">
        <v>121</v>
      </c>
    </row>
    <row r="104" spans="1:4" x14ac:dyDescent="0.55000000000000004">
      <c r="A104" t="s">
        <v>222</v>
      </c>
      <c r="B104" t="s">
        <v>37</v>
      </c>
      <c r="C104" s="3">
        <v>45403</v>
      </c>
      <c r="D104" t="s">
        <v>121</v>
      </c>
    </row>
    <row r="105" spans="1:4" x14ac:dyDescent="0.55000000000000004">
      <c r="A105" t="s">
        <v>223</v>
      </c>
      <c r="B105" t="s">
        <v>53</v>
      </c>
      <c r="C105" s="3">
        <v>45349</v>
      </c>
      <c r="D105" t="s">
        <v>128</v>
      </c>
    </row>
    <row r="106" spans="1:4" x14ac:dyDescent="0.55000000000000004">
      <c r="A106" t="s">
        <v>224</v>
      </c>
      <c r="B106" t="s">
        <v>57</v>
      </c>
      <c r="C106" s="3">
        <v>45360</v>
      </c>
      <c r="D106" t="s">
        <v>121</v>
      </c>
    </row>
    <row r="107" spans="1:4" x14ac:dyDescent="0.55000000000000004">
      <c r="A107" t="s">
        <v>225</v>
      </c>
      <c r="B107" t="s">
        <v>65</v>
      </c>
      <c r="C107" s="3">
        <v>45344</v>
      </c>
      <c r="D107" t="s">
        <v>128</v>
      </c>
    </row>
    <row r="108" spans="1:4" x14ac:dyDescent="0.55000000000000004">
      <c r="A108" t="s">
        <v>226</v>
      </c>
      <c r="B108" t="s">
        <v>22</v>
      </c>
      <c r="C108" s="3">
        <v>45359</v>
      </c>
      <c r="D108" t="s">
        <v>121</v>
      </c>
    </row>
    <row r="109" spans="1:4" x14ac:dyDescent="0.55000000000000004">
      <c r="A109" t="s">
        <v>227</v>
      </c>
      <c r="B109" t="s">
        <v>75</v>
      </c>
      <c r="C109" s="3">
        <v>45295</v>
      </c>
      <c r="D109" t="s">
        <v>121</v>
      </c>
    </row>
    <row r="110" spans="1:4" x14ac:dyDescent="0.55000000000000004">
      <c r="A110" t="s">
        <v>228</v>
      </c>
      <c r="B110" t="s">
        <v>102</v>
      </c>
      <c r="C110" s="3">
        <v>45424</v>
      </c>
      <c r="D110" t="s">
        <v>121</v>
      </c>
    </row>
    <row r="111" spans="1:4" x14ac:dyDescent="0.55000000000000004">
      <c r="A111" t="s">
        <v>229</v>
      </c>
      <c r="B111" t="s">
        <v>110</v>
      </c>
      <c r="C111" s="3">
        <v>45467</v>
      </c>
      <c r="D111" t="s">
        <v>121</v>
      </c>
    </row>
    <row r="112" spans="1:4" x14ac:dyDescent="0.55000000000000004">
      <c r="A112" t="s">
        <v>230</v>
      </c>
      <c r="B112" t="s">
        <v>100</v>
      </c>
      <c r="C112" s="3">
        <v>45469</v>
      </c>
      <c r="D112" t="s">
        <v>121</v>
      </c>
    </row>
    <row r="113" spans="1:4" x14ac:dyDescent="0.55000000000000004">
      <c r="A113" t="s">
        <v>231</v>
      </c>
      <c r="B113" t="s">
        <v>71</v>
      </c>
      <c r="C113" s="3">
        <v>45370</v>
      </c>
      <c r="D113" t="s">
        <v>128</v>
      </c>
    </row>
    <row r="114" spans="1:4" x14ac:dyDescent="0.55000000000000004">
      <c r="A114" t="s">
        <v>232</v>
      </c>
      <c r="B114" t="s">
        <v>24</v>
      </c>
      <c r="C114" s="3">
        <v>45312</v>
      </c>
      <c r="D114" t="s">
        <v>121</v>
      </c>
    </row>
    <row r="115" spans="1:4" x14ac:dyDescent="0.55000000000000004">
      <c r="A115" t="s">
        <v>233</v>
      </c>
      <c r="B115" t="s">
        <v>14</v>
      </c>
      <c r="C115" s="3">
        <v>45362</v>
      </c>
      <c r="D115" t="s">
        <v>128</v>
      </c>
    </row>
    <row r="116" spans="1:4" x14ac:dyDescent="0.55000000000000004">
      <c r="A116" t="s">
        <v>234</v>
      </c>
      <c r="B116" t="s">
        <v>14</v>
      </c>
      <c r="C116" s="3">
        <v>45461</v>
      </c>
      <c r="D116" t="s">
        <v>118</v>
      </c>
    </row>
    <row r="117" spans="1:4" x14ac:dyDescent="0.55000000000000004">
      <c r="A117" t="s">
        <v>235</v>
      </c>
      <c r="B117" t="s">
        <v>104</v>
      </c>
      <c r="C117" s="3">
        <v>45391</v>
      </c>
      <c r="D117" t="s">
        <v>121</v>
      </c>
    </row>
    <row r="118" spans="1:4" x14ac:dyDescent="0.55000000000000004">
      <c r="A118" t="s">
        <v>236</v>
      </c>
      <c r="B118" t="s">
        <v>65</v>
      </c>
      <c r="C118" s="3">
        <v>45415</v>
      </c>
      <c r="D118" t="s">
        <v>121</v>
      </c>
    </row>
    <row r="119" spans="1:4" x14ac:dyDescent="0.55000000000000004">
      <c r="A119" t="s">
        <v>237</v>
      </c>
      <c r="B119" t="s">
        <v>67</v>
      </c>
      <c r="C119" s="3">
        <v>45384</v>
      </c>
      <c r="D119" t="s">
        <v>121</v>
      </c>
    </row>
    <row r="120" spans="1:4" x14ac:dyDescent="0.55000000000000004">
      <c r="A120" t="s">
        <v>238</v>
      </c>
      <c r="B120" t="s">
        <v>4</v>
      </c>
      <c r="C120" s="3">
        <v>45417</v>
      </c>
      <c r="D120" t="s">
        <v>121</v>
      </c>
    </row>
    <row r="121" spans="1:4" x14ac:dyDescent="0.55000000000000004">
      <c r="A121" t="s">
        <v>239</v>
      </c>
      <c r="B121" t="s">
        <v>14</v>
      </c>
      <c r="C121" s="3">
        <v>45446</v>
      </c>
      <c r="D121" t="s">
        <v>118</v>
      </c>
    </row>
    <row r="122" spans="1:4" x14ac:dyDescent="0.55000000000000004">
      <c r="A122" t="s">
        <v>240</v>
      </c>
      <c r="B122" t="s">
        <v>4</v>
      </c>
      <c r="C122" s="3">
        <v>45368</v>
      </c>
      <c r="D122" t="s">
        <v>121</v>
      </c>
    </row>
    <row r="123" spans="1:4" x14ac:dyDescent="0.55000000000000004">
      <c r="A123" t="s">
        <v>241</v>
      </c>
      <c r="B123" t="s">
        <v>22</v>
      </c>
      <c r="C123" s="3">
        <v>45382</v>
      </c>
      <c r="D123" t="s">
        <v>118</v>
      </c>
    </row>
    <row r="124" spans="1:4" x14ac:dyDescent="0.55000000000000004">
      <c r="A124" t="s">
        <v>242</v>
      </c>
      <c r="B124" t="s">
        <v>51</v>
      </c>
      <c r="C124" s="3">
        <v>45429</v>
      </c>
      <c r="D124" t="s">
        <v>121</v>
      </c>
    </row>
    <row r="125" spans="1:4" x14ac:dyDescent="0.55000000000000004">
      <c r="A125" t="s">
        <v>243</v>
      </c>
      <c r="B125" t="s">
        <v>24</v>
      </c>
      <c r="C125" s="3">
        <v>45470</v>
      </c>
      <c r="D125" t="s">
        <v>128</v>
      </c>
    </row>
    <row r="126" spans="1:4" x14ac:dyDescent="0.55000000000000004">
      <c r="A126" t="s">
        <v>244</v>
      </c>
      <c r="B126" t="s">
        <v>67</v>
      </c>
      <c r="C126" s="3">
        <v>45410</v>
      </c>
      <c r="D126" t="s">
        <v>118</v>
      </c>
    </row>
    <row r="127" spans="1:4" x14ac:dyDescent="0.55000000000000004">
      <c r="A127" t="s">
        <v>245</v>
      </c>
      <c r="B127" t="s">
        <v>53</v>
      </c>
      <c r="C127" s="3">
        <v>45449</v>
      </c>
      <c r="D127" t="s">
        <v>128</v>
      </c>
    </row>
    <row r="128" spans="1:4" x14ac:dyDescent="0.55000000000000004">
      <c r="A128" t="s">
        <v>246</v>
      </c>
      <c r="B128" t="s">
        <v>108</v>
      </c>
      <c r="C128" s="3">
        <v>45379</v>
      </c>
      <c r="D128" t="s">
        <v>118</v>
      </c>
    </row>
    <row r="129" spans="1:4" x14ac:dyDescent="0.55000000000000004">
      <c r="A129" t="s">
        <v>247</v>
      </c>
      <c r="B129" t="s">
        <v>57</v>
      </c>
      <c r="C129" s="3">
        <v>45465</v>
      </c>
      <c r="D129" t="s">
        <v>121</v>
      </c>
    </row>
    <row r="130" spans="1:4" x14ac:dyDescent="0.55000000000000004">
      <c r="A130" t="s">
        <v>248</v>
      </c>
      <c r="B130" t="s">
        <v>51</v>
      </c>
      <c r="C130" s="3">
        <v>45398</v>
      </c>
      <c r="D130" t="s">
        <v>121</v>
      </c>
    </row>
    <row r="131" spans="1:4" x14ac:dyDescent="0.55000000000000004">
      <c r="A131" t="s">
        <v>249</v>
      </c>
      <c r="B131" t="s">
        <v>106</v>
      </c>
      <c r="C131" s="3">
        <v>45444</v>
      </c>
      <c r="D131" t="s">
        <v>121</v>
      </c>
    </row>
    <row r="132" spans="1:4" x14ac:dyDescent="0.55000000000000004">
      <c r="A132" t="s">
        <v>250</v>
      </c>
      <c r="B132" t="s">
        <v>59</v>
      </c>
      <c r="C132" s="3">
        <v>45378</v>
      </c>
      <c r="D132" t="s">
        <v>128</v>
      </c>
    </row>
    <row r="133" spans="1:4" x14ac:dyDescent="0.55000000000000004">
      <c r="A133" t="s">
        <v>251</v>
      </c>
      <c r="B133" t="s">
        <v>37</v>
      </c>
      <c r="C133" s="3">
        <v>45414</v>
      </c>
      <c r="D133" t="s">
        <v>121</v>
      </c>
    </row>
    <row r="134" spans="1:4" x14ac:dyDescent="0.55000000000000004">
      <c r="A134" t="s">
        <v>252</v>
      </c>
      <c r="B134" t="s">
        <v>61</v>
      </c>
      <c r="C134" s="3">
        <v>45313</v>
      </c>
      <c r="D134" t="s">
        <v>118</v>
      </c>
    </row>
    <row r="135" spans="1:4" x14ac:dyDescent="0.55000000000000004">
      <c r="A135" t="s">
        <v>253</v>
      </c>
      <c r="B135" t="s">
        <v>71</v>
      </c>
      <c r="C135" s="3">
        <v>45414</v>
      </c>
      <c r="D135" t="s">
        <v>128</v>
      </c>
    </row>
    <row r="136" spans="1:4" x14ac:dyDescent="0.55000000000000004">
      <c r="A136" t="s">
        <v>254</v>
      </c>
      <c r="B136" t="s">
        <v>112</v>
      </c>
      <c r="C136" s="3">
        <v>45338</v>
      </c>
      <c r="D136" t="s">
        <v>121</v>
      </c>
    </row>
    <row r="137" spans="1:4" x14ac:dyDescent="0.55000000000000004">
      <c r="A137" t="s">
        <v>255</v>
      </c>
      <c r="B137" t="s">
        <v>67</v>
      </c>
      <c r="C137" s="3">
        <v>45341</v>
      </c>
      <c r="D137" t="s">
        <v>128</v>
      </c>
    </row>
    <row r="138" spans="1:4" x14ac:dyDescent="0.55000000000000004">
      <c r="A138" t="s">
        <v>256</v>
      </c>
      <c r="B138" t="s">
        <v>92</v>
      </c>
      <c r="C138" s="3">
        <v>45415</v>
      </c>
      <c r="D138" t="s">
        <v>128</v>
      </c>
    </row>
    <row r="139" spans="1:4" x14ac:dyDescent="0.55000000000000004">
      <c r="A139" t="s">
        <v>257</v>
      </c>
      <c r="B139" t="s">
        <v>29</v>
      </c>
      <c r="C139" s="3">
        <v>45399</v>
      </c>
      <c r="D139" t="s">
        <v>121</v>
      </c>
    </row>
    <row r="140" spans="1:4" x14ac:dyDescent="0.55000000000000004">
      <c r="A140" t="s">
        <v>258</v>
      </c>
      <c r="B140" t="s">
        <v>27</v>
      </c>
      <c r="C140" s="3">
        <v>45302</v>
      </c>
      <c r="D140" t="s">
        <v>121</v>
      </c>
    </row>
    <row r="141" spans="1:4" x14ac:dyDescent="0.55000000000000004">
      <c r="A141" t="s">
        <v>259</v>
      </c>
      <c r="B141" t="s">
        <v>86</v>
      </c>
      <c r="C141" s="3">
        <v>45414</v>
      </c>
      <c r="D141" t="s">
        <v>128</v>
      </c>
    </row>
    <row r="142" spans="1:4" x14ac:dyDescent="0.55000000000000004">
      <c r="A142" t="s">
        <v>260</v>
      </c>
      <c r="B142" t="s">
        <v>96</v>
      </c>
      <c r="C142" s="3">
        <v>45445</v>
      </c>
      <c r="D142" t="s">
        <v>118</v>
      </c>
    </row>
    <row r="143" spans="1:4" x14ac:dyDescent="0.55000000000000004">
      <c r="A143" t="s">
        <v>261</v>
      </c>
      <c r="B143" t="s">
        <v>19</v>
      </c>
      <c r="C143" s="3">
        <v>45402</v>
      </c>
      <c r="D143" t="s">
        <v>121</v>
      </c>
    </row>
    <row r="144" spans="1:4" x14ac:dyDescent="0.55000000000000004">
      <c r="A144" t="s">
        <v>262</v>
      </c>
      <c r="B144" t="s">
        <v>104</v>
      </c>
      <c r="C144" s="3">
        <v>45418</v>
      </c>
      <c r="D144" t="s">
        <v>121</v>
      </c>
    </row>
    <row r="145" spans="1:4" x14ac:dyDescent="0.55000000000000004">
      <c r="A145" t="s">
        <v>263</v>
      </c>
      <c r="B145" t="s">
        <v>69</v>
      </c>
      <c r="C145" s="3">
        <v>45294</v>
      </c>
      <c r="D145" t="s">
        <v>121</v>
      </c>
    </row>
    <row r="146" spans="1:4" x14ac:dyDescent="0.55000000000000004">
      <c r="A146" t="s">
        <v>264</v>
      </c>
      <c r="B146" t="s">
        <v>49</v>
      </c>
      <c r="C146" s="3">
        <v>45356</v>
      </c>
      <c r="D146" t="s">
        <v>118</v>
      </c>
    </row>
    <row r="147" spans="1:4" x14ac:dyDescent="0.55000000000000004">
      <c r="A147" t="s">
        <v>265</v>
      </c>
      <c r="B147" t="s">
        <v>14</v>
      </c>
      <c r="C147" s="3">
        <v>45342</v>
      </c>
      <c r="D147" t="s">
        <v>118</v>
      </c>
    </row>
    <row r="148" spans="1:4" x14ac:dyDescent="0.55000000000000004">
      <c r="A148" t="s">
        <v>266</v>
      </c>
      <c r="B148" t="s">
        <v>49</v>
      </c>
      <c r="C148" s="3">
        <v>45297</v>
      </c>
      <c r="D148" t="s">
        <v>121</v>
      </c>
    </row>
    <row r="149" spans="1:4" x14ac:dyDescent="0.55000000000000004">
      <c r="A149" t="s">
        <v>267</v>
      </c>
      <c r="B149" t="s">
        <v>55</v>
      </c>
      <c r="C149" s="3">
        <v>45413</v>
      </c>
      <c r="D149" t="s">
        <v>121</v>
      </c>
    </row>
    <row r="150" spans="1:4" x14ac:dyDescent="0.55000000000000004">
      <c r="A150" t="s">
        <v>268</v>
      </c>
      <c r="B150" t="s">
        <v>29</v>
      </c>
      <c r="C150" s="3">
        <v>45417</v>
      </c>
      <c r="D150" t="s">
        <v>128</v>
      </c>
    </row>
    <row r="151" spans="1:4" x14ac:dyDescent="0.55000000000000004">
      <c r="A151" t="s">
        <v>269</v>
      </c>
      <c r="B151" t="s">
        <v>55</v>
      </c>
      <c r="C151" s="3">
        <v>45380</v>
      </c>
      <c r="D151" t="s">
        <v>121</v>
      </c>
    </row>
    <row r="152" spans="1:4" x14ac:dyDescent="0.55000000000000004">
      <c r="A152" t="s">
        <v>270</v>
      </c>
      <c r="B152" t="s">
        <v>104</v>
      </c>
      <c r="C152" s="3">
        <v>45374</v>
      </c>
      <c r="D152" t="s">
        <v>118</v>
      </c>
    </row>
    <row r="153" spans="1:4" x14ac:dyDescent="0.55000000000000004">
      <c r="A153" t="s">
        <v>271</v>
      </c>
      <c r="B153" t="s">
        <v>57</v>
      </c>
      <c r="C153" s="3">
        <v>45426</v>
      </c>
      <c r="D153" t="s">
        <v>121</v>
      </c>
    </row>
    <row r="154" spans="1:4" x14ac:dyDescent="0.55000000000000004">
      <c r="A154" t="s">
        <v>272</v>
      </c>
      <c r="B154" t="s">
        <v>96</v>
      </c>
      <c r="C154" s="3">
        <v>45410</v>
      </c>
      <c r="D154" t="s">
        <v>121</v>
      </c>
    </row>
    <row r="155" spans="1:4" x14ac:dyDescent="0.55000000000000004">
      <c r="A155" t="s">
        <v>273</v>
      </c>
      <c r="B155" t="s">
        <v>82</v>
      </c>
      <c r="C155" s="3">
        <v>45307</v>
      </c>
      <c r="D155" t="s">
        <v>121</v>
      </c>
    </row>
    <row r="156" spans="1:4" x14ac:dyDescent="0.55000000000000004">
      <c r="A156" t="s">
        <v>274</v>
      </c>
      <c r="B156" t="s">
        <v>57</v>
      </c>
      <c r="C156" s="3">
        <v>45455</v>
      </c>
      <c r="D156" t="s">
        <v>128</v>
      </c>
    </row>
    <row r="157" spans="1:4" x14ac:dyDescent="0.55000000000000004">
      <c r="A157" t="s">
        <v>275</v>
      </c>
      <c r="B157" t="s">
        <v>19</v>
      </c>
      <c r="C157" s="3">
        <v>45316</v>
      </c>
      <c r="D157" t="s">
        <v>121</v>
      </c>
    </row>
    <row r="158" spans="1:4" x14ac:dyDescent="0.55000000000000004">
      <c r="A158" t="s">
        <v>276</v>
      </c>
      <c r="B158" t="s">
        <v>71</v>
      </c>
      <c r="C158" s="3">
        <v>45439</v>
      </c>
      <c r="D158" t="s">
        <v>128</v>
      </c>
    </row>
    <row r="159" spans="1:4" x14ac:dyDescent="0.55000000000000004">
      <c r="A159" t="s">
        <v>277</v>
      </c>
      <c r="B159" t="s">
        <v>32</v>
      </c>
      <c r="C159" s="3">
        <v>45329</v>
      </c>
      <c r="D159" t="s">
        <v>121</v>
      </c>
    </row>
    <row r="160" spans="1:4" x14ac:dyDescent="0.55000000000000004">
      <c r="A160" t="s">
        <v>278</v>
      </c>
      <c r="B160" t="s">
        <v>41</v>
      </c>
      <c r="C160" s="3">
        <v>45395</v>
      </c>
      <c r="D160" t="s">
        <v>118</v>
      </c>
    </row>
    <row r="161" spans="1:4" x14ac:dyDescent="0.55000000000000004">
      <c r="A161" t="s">
        <v>279</v>
      </c>
      <c r="B161" t="s">
        <v>88</v>
      </c>
      <c r="C161" s="3">
        <v>45299</v>
      </c>
      <c r="D161" t="s">
        <v>128</v>
      </c>
    </row>
    <row r="162" spans="1:4" x14ac:dyDescent="0.55000000000000004">
      <c r="A162" t="s">
        <v>280</v>
      </c>
      <c r="B162" t="s">
        <v>71</v>
      </c>
      <c r="C162" s="3">
        <v>45352</v>
      </c>
      <c r="D162" t="s">
        <v>121</v>
      </c>
    </row>
    <row r="163" spans="1:4" x14ac:dyDescent="0.55000000000000004">
      <c r="A163" t="s">
        <v>281</v>
      </c>
      <c r="B163" t="s">
        <v>61</v>
      </c>
      <c r="C163" s="3">
        <v>45409</v>
      </c>
      <c r="D163" t="s">
        <v>121</v>
      </c>
    </row>
    <row r="164" spans="1:4" x14ac:dyDescent="0.55000000000000004">
      <c r="A164" t="s">
        <v>282</v>
      </c>
      <c r="B164" t="s">
        <v>79</v>
      </c>
      <c r="C164" s="3">
        <v>45342</v>
      </c>
      <c r="D164" t="s">
        <v>121</v>
      </c>
    </row>
    <row r="165" spans="1:4" x14ac:dyDescent="0.55000000000000004">
      <c r="A165" t="s">
        <v>283</v>
      </c>
      <c r="B165" t="s">
        <v>37</v>
      </c>
      <c r="C165" s="3">
        <v>45469</v>
      </c>
      <c r="D165" t="s">
        <v>118</v>
      </c>
    </row>
    <row r="166" spans="1:4" x14ac:dyDescent="0.55000000000000004">
      <c r="A166" t="s">
        <v>284</v>
      </c>
      <c r="B166" t="s">
        <v>14</v>
      </c>
      <c r="C166" s="3">
        <v>45440</v>
      </c>
      <c r="D166" t="s">
        <v>121</v>
      </c>
    </row>
    <row r="167" spans="1:4" x14ac:dyDescent="0.55000000000000004">
      <c r="A167" t="s">
        <v>285</v>
      </c>
      <c r="B167" t="s">
        <v>4</v>
      </c>
      <c r="C167" s="3">
        <v>45455</v>
      </c>
      <c r="D167" t="s">
        <v>128</v>
      </c>
    </row>
    <row r="168" spans="1:4" x14ac:dyDescent="0.55000000000000004">
      <c r="A168" t="s">
        <v>286</v>
      </c>
      <c r="B168" t="s">
        <v>75</v>
      </c>
      <c r="C168" s="3">
        <v>45414</v>
      </c>
      <c r="D168" t="s">
        <v>121</v>
      </c>
    </row>
    <row r="169" spans="1:4" x14ac:dyDescent="0.55000000000000004">
      <c r="A169" t="s">
        <v>287</v>
      </c>
      <c r="B169" t="s">
        <v>94</v>
      </c>
      <c r="C169" s="3">
        <v>45407</v>
      </c>
      <c r="D169" t="s">
        <v>121</v>
      </c>
    </row>
    <row r="170" spans="1:4" x14ac:dyDescent="0.55000000000000004">
      <c r="A170" t="s">
        <v>288</v>
      </c>
      <c r="B170" t="s">
        <v>100</v>
      </c>
      <c r="C170" s="3">
        <v>45397</v>
      </c>
      <c r="D170" t="s">
        <v>121</v>
      </c>
    </row>
    <row r="171" spans="1:4" x14ac:dyDescent="0.55000000000000004">
      <c r="A171" t="s">
        <v>289</v>
      </c>
      <c r="B171" t="s">
        <v>92</v>
      </c>
      <c r="C171" s="3">
        <v>45436</v>
      </c>
      <c r="D171" t="s">
        <v>128</v>
      </c>
    </row>
    <row r="172" spans="1:4" x14ac:dyDescent="0.55000000000000004">
      <c r="A172" t="s">
        <v>290</v>
      </c>
      <c r="B172" t="s">
        <v>4</v>
      </c>
      <c r="C172" s="3">
        <v>45314</v>
      </c>
      <c r="D172" t="s">
        <v>128</v>
      </c>
    </row>
    <row r="173" spans="1:4" x14ac:dyDescent="0.55000000000000004">
      <c r="A173" t="s">
        <v>291</v>
      </c>
      <c r="B173" t="s">
        <v>45</v>
      </c>
      <c r="C173" s="3">
        <v>45328</v>
      </c>
      <c r="D173" t="s">
        <v>121</v>
      </c>
    </row>
    <row r="174" spans="1:4" x14ac:dyDescent="0.55000000000000004">
      <c r="A174" t="s">
        <v>292</v>
      </c>
      <c r="B174" t="s">
        <v>92</v>
      </c>
      <c r="C174" s="3">
        <v>45384</v>
      </c>
      <c r="D174" t="s">
        <v>121</v>
      </c>
    </row>
    <row r="175" spans="1:4" x14ac:dyDescent="0.55000000000000004">
      <c r="A175" t="s">
        <v>293</v>
      </c>
      <c r="B175" t="s">
        <v>11</v>
      </c>
      <c r="C175" s="3">
        <v>45373</v>
      </c>
      <c r="D175" t="s">
        <v>121</v>
      </c>
    </row>
    <row r="176" spans="1:4" x14ac:dyDescent="0.55000000000000004">
      <c r="A176" t="s">
        <v>294</v>
      </c>
      <c r="B176" t="s">
        <v>86</v>
      </c>
      <c r="C176" s="3">
        <v>45449</v>
      </c>
      <c r="D176" t="s">
        <v>121</v>
      </c>
    </row>
    <row r="177" spans="1:4" x14ac:dyDescent="0.55000000000000004">
      <c r="A177" t="s">
        <v>295</v>
      </c>
      <c r="B177" t="s">
        <v>51</v>
      </c>
      <c r="C177" s="3">
        <v>45373</v>
      </c>
      <c r="D177" t="s">
        <v>121</v>
      </c>
    </row>
    <row r="178" spans="1:4" x14ac:dyDescent="0.55000000000000004">
      <c r="A178" t="s">
        <v>296</v>
      </c>
      <c r="B178" t="s">
        <v>104</v>
      </c>
      <c r="C178" s="3">
        <v>45365</v>
      </c>
      <c r="D178" t="s">
        <v>121</v>
      </c>
    </row>
    <row r="179" spans="1:4" x14ac:dyDescent="0.55000000000000004">
      <c r="A179" t="s">
        <v>297</v>
      </c>
      <c r="B179" t="s">
        <v>112</v>
      </c>
      <c r="C179" s="3">
        <v>45383</v>
      </c>
      <c r="D179" t="s">
        <v>121</v>
      </c>
    </row>
    <row r="180" spans="1:4" x14ac:dyDescent="0.55000000000000004">
      <c r="A180" t="s">
        <v>298</v>
      </c>
      <c r="B180" t="s">
        <v>79</v>
      </c>
      <c r="C180" s="3">
        <v>45412</v>
      </c>
      <c r="D180" t="s">
        <v>121</v>
      </c>
    </row>
    <row r="181" spans="1:4" x14ac:dyDescent="0.55000000000000004">
      <c r="A181" t="s">
        <v>299</v>
      </c>
      <c r="B181" t="s">
        <v>77</v>
      </c>
      <c r="C181" s="3">
        <v>45463</v>
      </c>
      <c r="D181" t="s">
        <v>121</v>
      </c>
    </row>
    <row r="182" spans="1:4" x14ac:dyDescent="0.55000000000000004">
      <c r="A182" t="s">
        <v>300</v>
      </c>
      <c r="B182" t="s">
        <v>51</v>
      </c>
      <c r="C182" s="3">
        <v>45360</v>
      </c>
      <c r="D182" t="s">
        <v>121</v>
      </c>
    </row>
    <row r="183" spans="1:4" x14ac:dyDescent="0.55000000000000004">
      <c r="A183" t="s">
        <v>301</v>
      </c>
      <c r="B183" t="s">
        <v>32</v>
      </c>
      <c r="C183" s="3">
        <v>45335</v>
      </c>
      <c r="D183" t="s">
        <v>118</v>
      </c>
    </row>
    <row r="184" spans="1:4" x14ac:dyDescent="0.55000000000000004">
      <c r="A184" t="s">
        <v>302</v>
      </c>
      <c r="B184" t="s">
        <v>22</v>
      </c>
      <c r="C184" s="3">
        <v>45431</v>
      </c>
      <c r="D184" t="s">
        <v>121</v>
      </c>
    </row>
    <row r="185" spans="1:4" x14ac:dyDescent="0.55000000000000004">
      <c r="A185" t="s">
        <v>303</v>
      </c>
      <c r="B185" t="s">
        <v>98</v>
      </c>
      <c r="C185" s="3">
        <v>45329</v>
      </c>
      <c r="D185" t="s">
        <v>128</v>
      </c>
    </row>
    <row r="186" spans="1:4" x14ac:dyDescent="0.55000000000000004">
      <c r="A186" t="s">
        <v>304</v>
      </c>
      <c r="B186" t="s">
        <v>96</v>
      </c>
      <c r="C186" s="3">
        <v>45312</v>
      </c>
      <c r="D186" t="s">
        <v>121</v>
      </c>
    </row>
    <row r="187" spans="1:4" x14ac:dyDescent="0.55000000000000004">
      <c r="A187" t="s">
        <v>305</v>
      </c>
      <c r="B187" t="s">
        <v>110</v>
      </c>
      <c r="C187" s="3">
        <v>45400</v>
      </c>
      <c r="D187" t="s">
        <v>128</v>
      </c>
    </row>
    <row r="188" spans="1:4" x14ac:dyDescent="0.55000000000000004">
      <c r="A188" t="s">
        <v>306</v>
      </c>
      <c r="B188" t="s">
        <v>19</v>
      </c>
      <c r="C188" s="3">
        <v>45385</v>
      </c>
      <c r="D188" t="s">
        <v>121</v>
      </c>
    </row>
    <row r="189" spans="1:4" x14ac:dyDescent="0.55000000000000004">
      <c r="A189" t="s">
        <v>307</v>
      </c>
      <c r="B189" t="s">
        <v>32</v>
      </c>
      <c r="C189" s="3">
        <v>45365</v>
      </c>
      <c r="D189" t="s">
        <v>121</v>
      </c>
    </row>
    <row r="190" spans="1:4" x14ac:dyDescent="0.55000000000000004">
      <c r="A190" t="s">
        <v>308</v>
      </c>
      <c r="B190" t="s">
        <v>27</v>
      </c>
      <c r="C190" s="3">
        <v>45413</v>
      </c>
      <c r="D190" t="s">
        <v>121</v>
      </c>
    </row>
    <row r="191" spans="1:4" x14ac:dyDescent="0.55000000000000004">
      <c r="A191" t="s">
        <v>309</v>
      </c>
      <c r="B191" t="s">
        <v>69</v>
      </c>
      <c r="C191" s="3">
        <v>45451</v>
      </c>
      <c r="D191" t="s">
        <v>118</v>
      </c>
    </row>
    <row r="192" spans="1:4" x14ac:dyDescent="0.55000000000000004">
      <c r="A192" t="s">
        <v>310</v>
      </c>
      <c r="B192" t="s">
        <v>98</v>
      </c>
      <c r="C192" s="3">
        <v>45314</v>
      </c>
      <c r="D192" t="s">
        <v>128</v>
      </c>
    </row>
    <row r="193" spans="1:4" x14ac:dyDescent="0.55000000000000004">
      <c r="A193" t="s">
        <v>311</v>
      </c>
      <c r="B193" t="s">
        <v>63</v>
      </c>
      <c r="C193" s="3">
        <v>45457</v>
      </c>
      <c r="D193" t="s">
        <v>121</v>
      </c>
    </row>
    <row r="194" spans="1:4" x14ac:dyDescent="0.55000000000000004">
      <c r="A194" t="s">
        <v>312</v>
      </c>
      <c r="B194" t="s">
        <v>100</v>
      </c>
      <c r="C194" s="3">
        <v>45384</v>
      </c>
      <c r="D194" t="s">
        <v>121</v>
      </c>
    </row>
    <row r="195" spans="1:4" x14ac:dyDescent="0.55000000000000004">
      <c r="A195" t="s">
        <v>313</v>
      </c>
      <c r="B195" t="s">
        <v>47</v>
      </c>
      <c r="C195" s="3">
        <v>45386</v>
      </c>
      <c r="D195" t="s">
        <v>121</v>
      </c>
    </row>
    <row r="196" spans="1:4" x14ac:dyDescent="0.55000000000000004">
      <c r="A196" t="s">
        <v>314</v>
      </c>
      <c r="B196" t="s">
        <v>47</v>
      </c>
      <c r="C196" s="3">
        <v>45420</v>
      </c>
      <c r="D196" t="s">
        <v>121</v>
      </c>
    </row>
    <row r="197" spans="1:4" x14ac:dyDescent="0.55000000000000004">
      <c r="A197" t="s">
        <v>315</v>
      </c>
      <c r="B197" t="s">
        <v>34</v>
      </c>
      <c r="C197" s="3">
        <v>45299</v>
      </c>
      <c r="D197" t="s">
        <v>118</v>
      </c>
    </row>
    <row r="198" spans="1:4" x14ac:dyDescent="0.55000000000000004">
      <c r="A198" t="s">
        <v>316</v>
      </c>
      <c r="B198" t="s">
        <v>8</v>
      </c>
      <c r="C198" s="3">
        <v>45393</v>
      </c>
      <c r="D198" t="s">
        <v>128</v>
      </c>
    </row>
    <row r="199" spans="1:4" x14ac:dyDescent="0.55000000000000004">
      <c r="A199" t="s">
        <v>317</v>
      </c>
      <c r="B199" t="s">
        <v>8</v>
      </c>
      <c r="C199" s="3">
        <v>45438</v>
      </c>
      <c r="D199" t="s">
        <v>121</v>
      </c>
    </row>
    <row r="200" spans="1:4" x14ac:dyDescent="0.55000000000000004">
      <c r="A200" t="s">
        <v>318</v>
      </c>
      <c r="B200" t="s">
        <v>14</v>
      </c>
      <c r="C200" s="3">
        <v>45352</v>
      </c>
      <c r="D200" t="s">
        <v>128</v>
      </c>
    </row>
    <row r="201" spans="1:4" x14ac:dyDescent="0.55000000000000004">
      <c r="A201" t="s">
        <v>319</v>
      </c>
      <c r="B201" t="s">
        <v>67</v>
      </c>
      <c r="C201" s="3">
        <v>45386</v>
      </c>
      <c r="D201" t="s">
        <v>121</v>
      </c>
    </row>
  </sheetData>
  <conditionalFormatting sqref="D202:D1048576">
    <cfRule type="cellIs" dxfId="10" priority="2" operator="equal">
      <formula>"Pending"</formula>
    </cfRule>
    <cfRule type="containsText" priority="3" operator="containsText" text="Completed">
      <formula>NOT(ISERROR(SEARCH("Completed",D202)))</formula>
    </cfRule>
  </conditionalFormatting>
  <conditionalFormatting sqref="D1:D1048576">
    <cfRule type="cellIs" dxfId="9" priority="1" operator="equal">
      <formula>"Cancelled"</formula>
    </cfRule>
  </conditionalFormatting>
  <pageMargins left="0.75" right="0.75" top="1" bottom="1" header="0.5" footer="0.5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9"/>
  <sheetViews>
    <sheetView tabSelected="1" workbookViewId="0">
      <selection activeCell="O22" sqref="O22"/>
    </sheetView>
  </sheetViews>
  <sheetFormatPr defaultRowHeight="14.4" x14ac:dyDescent="0.55000000000000004"/>
  <cols>
    <col min="1" max="1" width="9" customWidth="1"/>
    <col min="2" max="2" width="14.62890625" customWidth="1"/>
    <col min="3" max="3" width="15.68359375" customWidth="1"/>
    <col min="4" max="4" width="10.15625" customWidth="1"/>
    <col min="5" max="5" width="9.62890625" style="1" customWidth="1"/>
    <col min="6" max="6" width="17.20703125" style="1" customWidth="1"/>
    <col min="9" max="9" width="10.20703125" bestFit="1" customWidth="1"/>
    <col min="10" max="10" width="15.41796875" bestFit="1" customWidth="1"/>
  </cols>
  <sheetData>
    <row r="1" spans="1:6" x14ac:dyDescent="0.55000000000000004">
      <c r="A1" t="s">
        <v>114</v>
      </c>
      <c r="B1" t="s">
        <v>320</v>
      </c>
      <c r="C1" t="s">
        <v>321</v>
      </c>
      <c r="D1" t="s">
        <v>322</v>
      </c>
      <c r="E1" s="1" t="s">
        <v>323</v>
      </c>
      <c r="F1" s="1" t="s">
        <v>324</v>
      </c>
    </row>
    <row r="2" spans="1:6" x14ac:dyDescent="0.55000000000000004">
      <c r="A2" t="s">
        <v>117</v>
      </c>
      <c r="B2" t="s">
        <v>325</v>
      </c>
      <c r="C2" t="s">
        <v>326</v>
      </c>
      <c r="D2">
        <v>3</v>
      </c>
      <c r="E2" s="1">
        <v>2500</v>
      </c>
      <c r="F2" s="1">
        <f>Table3[[#This Row],[UnitPrice]]*Table3[[#This Row],[Quantity]]</f>
        <v>7500</v>
      </c>
    </row>
    <row r="3" spans="1:6" x14ac:dyDescent="0.55000000000000004">
      <c r="A3" t="s">
        <v>119</v>
      </c>
      <c r="B3" t="s">
        <v>325</v>
      </c>
      <c r="C3" t="s">
        <v>326</v>
      </c>
      <c r="D3">
        <v>4</v>
      </c>
      <c r="E3" s="1">
        <v>2500</v>
      </c>
      <c r="F3" s="1">
        <f>Table3[[#This Row],[UnitPrice]]*Table3[[#This Row],[Quantity]]</f>
        <v>10000</v>
      </c>
    </row>
    <row r="4" spans="1:6" x14ac:dyDescent="0.55000000000000004">
      <c r="A4" t="s">
        <v>119</v>
      </c>
      <c r="B4" t="s">
        <v>327</v>
      </c>
      <c r="C4" t="s">
        <v>328</v>
      </c>
      <c r="D4">
        <v>1</v>
      </c>
      <c r="E4" s="1">
        <v>12000</v>
      </c>
      <c r="F4" s="1">
        <f>Table3[[#This Row],[UnitPrice]]*Table3[[#This Row],[Quantity]]</f>
        <v>12000</v>
      </c>
    </row>
    <row r="5" spans="1:6" x14ac:dyDescent="0.55000000000000004">
      <c r="A5" t="s">
        <v>119</v>
      </c>
      <c r="B5" t="s">
        <v>325</v>
      </c>
      <c r="C5" t="s">
        <v>326</v>
      </c>
      <c r="D5">
        <v>5</v>
      </c>
      <c r="E5" s="1">
        <v>2500</v>
      </c>
      <c r="F5" s="1">
        <f>Table3[[#This Row],[UnitPrice]]*Table3[[#This Row],[Quantity]]</f>
        <v>12500</v>
      </c>
    </row>
    <row r="6" spans="1:6" x14ac:dyDescent="0.55000000000000004">
      <c r="A6" t="s">
        <v>120</v>
      </c>
      <c r="B6" t="s">
        <v>325</v>
      </c>
      <c r="C6" t="s">
        <v>326</v>
      </c>
      <c r="D6">
        <v>5</v>
      </c>
      <c r="E6" s="1">
        <v>2500</v>
      </c>
      <c r="F6" s="1">
        <f>Table3[[#This Row],[UnitPrice]]*Table3[[#This Row],[Quantity]]</f>
        <v>12500</v>
      </c>
    </row>
    <row r="7" spans="1:6" x14ac:dyDescent="0.55000000000000004">
      <c r="A7" t="s">
        <v>122</v>
      </c>
      <c r="B7" t="s">
        <v>329</v>
      </c>
      <c r="C7" t="s">
        <v>326</v>
      </c>
      <c r="D7">
        <v>2</v>
      </c>
      <c r="E7" s="1">
        <v>1500</v>
      </c>
      <c r="F7" s="1">
        <f>Table3[[#This Row],[UnitPrice]]*Table3[[#This Row],[Quantity]]</f>
        <v>3000</v>
      </c>
    </row>
    <row r="8" spans="1:6" x14ac:dyDescent="0.55000000000000004">
      <c r="A8" t="s">
        <v>122</v>
      </c>
      <c r="B8" t="s">
        <v>325</v>
      </c>
      <c r="C8" t="s">
        <v>326</v>
      </c>
      <c r="D8">
        <v>3</v>
      </c>
      <c r="E8" s="1">
        <v>2500</v>
      </c>
      <c r="F8" s="1">
        <f>Table3[[#This Row],[UnitPrice]]*Table3[[#This Row],[Quantity]]</f>
        <v>7500</v>
      </c>
    </row>
    <row r="9" spans="1:6" x14ac:dyDescent="0.55000000000000004">
      <c r="A9" t="s">
        <v>123</v>
      </c>
      <c r="B9" t="s">
        <v>327</v>
      </c>
      <c r="C9" t="s">
        <v>328</v>
      </c>
      <c r="D9">
        <v>5</v>
      </c>
      <c r="E9" s="1">
        <v>12000</v>
      </c>
      <c r="F9" s="1">
        <f>Table3[[#This Row],[UnitPrice]]*Table3[[#This Row],[Quantity]]</f>
        <v>60000</v>
      </c>
    </row>
    <row r="10" spans="1:6" x14ac:dyDescent="0.55000000000000004">
      <c r="A10" t="s">
        <v>124</v>
      </c>
      <c r="B10" t="s">
        <v>329</v>
      </c>
      <c r="C10" t="s">
        <v>326</v>
      </c>
      <c r="D10">
        <v>3</v>
      </c>
      <c r="E10" s="1">
        <v>1500</v>
      </c>
      <c r="F10" s="1">
        <f>Table3[[#This Row],[UnitPrice]]*Table3[[#This Row],[Quantity]]</f>
        <v>4500</v>
      </c>
    </row>
    <row r="11" spans="1:6" x14ac:dyDescent="0.55000000000000004">
      <c r="A11" t="s">
        <v>124</v>
      </c>
      <c r="B11" t="s">
        <v>330</v>
      </c>
      <c r="C11" t="s">
        <v>331</v>
      </c>
      <c r="D11">
        <v>5</v>
      </c>
      <c r="E11" s="1">
        <v>7000</v>
      </c>
      <c r="F11" s="1">
        <f>Table3[[#This Row],[UnitPrice]]*Table3[[#This Row],[Quantity]]</f>
        <v>35000</v>
      </c>
    </row>
    <row r="12" spans="1:6" x14ac:dyDescent="0.55000000000000004">
      <c r="A12" t="s">
        <v>125</v>
      </c>
      <c r="B12" t="s">
        <v>327</v>
      </c>
      <c r="C12" t="s">
        <v>328</v>
      </c>
      <c r="D12">
        <v>1</v>
      </c>
      <c r="E12" s="1">
        <v>12000</v>
      </c>
      <c r="F12" s="1">
        <f>Table3[[#This Row],[UnitPrice]]*Table3[[#This Row],[Quantity]]</f>
        <v>12000</v>
      </c>
    </row>
    <row r="13" spans="1:6" x14ac:dyDescent="0.55000000000000004">
      <c r="A13" t="s">
        <v>125</v>
      </c>
      <c r="B13" t="s">
        <v>327</v>
      </c>
      <c r="C13" t="s">
        <v>328</v>
      </c>
      <c r="D13">
        <v>1</v>
      </c>
      <c r="E13" s="1">
        <v>12000</v>
      </c>
      <c r="F13" s="1">
        <f>Table3[[#This Row],[UnitPrice]]*Table3[[#This Row],[Quantity]]</f>
        <v>12000</v>
      </c>
    </row>
    <row r="14" spans="1:6" x14ac:dyDescent="0.55000000000000004">
      <c r="A14" t="s">
        <v>126</v>
      </c>
      <c r="B14" t="s">
        <v>325</v>
      </c>
      <c r="C14" t="s">
        <v>326</v>
      </c>
      <c r="D14">
        <v>5</v>
      </c>
      <c r="E14" s="1">
        <v>2500</v>
      </c>
      <c r="F14" s="1">
        <f>Table3[[#This Row],[UnitPrice]]*Table3[[#This Row],[Quantity]]</f>
        <v>12500</v>
      </c>
    </row>
    <row r="15" spans="1:6" x14ac:dyDescent="0.55000000000000004">
      <c r="A15" t="s">
        <v>127</v>
      </c>
      <c r="B15" t="s">
        <v>332</v>
      </c>
      <c r="C15" t="s">
        <v>326</v>
      </c>
      <c r="D15">
        <v>1</v>
      </c>
      <c r="E15" s="1">
        <v>500</v>
      </c>
      <c r="F15" s="1">
        <f>Table3[[#This Row],[UnitPrice]]*Table3[[#This Row],[Quantity]]</f>
        <v>500</v>
      </c>
    </row>
    <row r="16" spans="1:6" x14ac:dyDescent="0.55000000000000004">
      <c r="A16" t="s">
        <v>129</v>
      </c>
      <c r="B16" t="s">
        <v>329</v>
      </c>
      <c r="C16" t="s">
        <v>326</v>
      </c>
      <c r="D16">
        <v>5</v>
      </c>
      <c r="E16" s="1">
        <v>1500</v>
      </c>
      <c r="F16" s="1">
        <f>Table3[[#This Row],[UnitPrice]]*Table3[[#This Row],[Quantity]]</f>
        <v>7500</v>
      </c>
    </row>
    <row r="17" spans="1:10" x14ac:dyDescent="0.55000000000000004">
      <c r="A17" t="s">
        <v>130</v>
      </c>
      <c r="B17" t="s">
        <v>329</v>
      </c>
      <c r="C17" t="s">
        <v>326</v>
      </c>
      <c r="D17">
        <v>2</v>
      </c>
      <c r="E17" s="1">
        <v>1500</v>
      </c>
      <c r="F17" s="1">
        <f>Table3[[#This Row],[UnitPrice]]*Table3[[#This Row],[Quantity]]</f>
        <v>3000</v>
      </c>
    </row>
    <row r="18" spans="1:10" x14ac:dyDescent="0.55000000000000004">
      <c r="A18" t="s">
        <v>130</v>
      </c>
      <c r="B18" t="s">
        <v>327</v>
      </c>
      <c r="C18" t="s">
        <v>328</v>
      </c>
      <c r="D18">
        <v>5</v>
      </c>
      <c r="E18" s="1">
        <v>12000</v>
      </c>
      <c r="F18" s="1">
        <f>Table3[[#This Row],[UnitPrice]]*Table3[[#This Row],[Quantity]]</f>
        <v>60000</v>
      </c>
    </row>
    <row r="19" spans="1:10" x14ac:dyDescent="0.55000000000000004">
      <c r="A19" t="s">
        <v>130</v>
      </c>
      <c r="B19" t="s">
        <v>325</v>
      </c>
      <c r="C19" t="s">
        <v>326</v>
      </c>
      <c r="D19">
        <v>4</v>
      </c>
      <c r="E19" s="1">
        <v>2500</v>
      </c>
      <c r="F19" s="1">
        <f>Table3[[#This Row],[UnitPrice]]*Table3[[#This Row],[Quantity]]</f>
        <v>10000</v>
      </c>
      <c r="J19" t="s">
        <v>337</v>
      </c>
    </row>
    <row r="20" spans="1:10" x14ac:dyDescent="0.55000000000000004">
      <c r="A20" t="s">
        <v>131</v>
      </c>
      <c r="B20" t="s">
        <v>333</v>
      </c>
      <c r="C20" t="s">
        <v>331</v>
      </c>
      <c r="D20">
        <v>1</v>
      </c>
      <c r="E20" s="1">
        <v>15000</v>
      </c>
      <c r="F20" s="1">
        <f>Table3[[#This Row],[UnitPrice]]*Table3[[#This Row],[Quantity]]</f>
        <v>15000</v>
      </c>
      <c r="I20" s="2" t="s">
        <v>328</v>
      </c>
      <c r="J20" s="5">
        <v>10390000</v>
      </c>
    </row>
    <row r="21" spans="1:10" x14ac:dyDescent="0.55000000000000004">
      <c r="A21" t="s">
        <v>131</v>
      </c>
      <c r="B21" t="s">
        <v>332</v>
      </c>
      <c r="C21" t="s">
        <v>326</v>
      </c>
      <c r="D21">
        <v>5</v>
      </c>
      <c r="E21" s="1">
        <v>500</v>
      </c>
      <c r="F21" s="1">
        <f>Table3[[#This Row],[UnitPrice]]*Table3[[#This Row],[Quantity]]</f>
        <v>2500</v>
      </c>
      <c r="I21" s="2" t="s">
        <v>331</v>
      </c>
      <c r="J21" s="5">
        <v>3633000</v>
      </c>
    </row>
    <row r="22" spans="1:10" x14ac:dyDescent="0.55000000000000004">
      <c r="A22" t="s">
        <v>132</v>
      </c>
      <c r="B22" t="s">
        <v>327</v>
      </c>
      <c r="C22" t="s">
        <v>328</v>
      </c>
      <c r="D22">
        <v>4</v>
      </c>
      <c r="E22" s="1">
        <v>12000</v>
      </c>
      <c r="F22" s="1">
        <f>Table3[[#This Row],[UnitPrice]]*Table3[[#This Row],[Quantity]]</f>
        <v>48000</v>
      </c>
      <c r="I22" s="2" t="s">
        <v>326</v>
      </c>
      <c r="J22" s="5">
        <v>911000</v>
      </c>
    </row>
    <row r="23" spans="1:10" x14ac:dyDescent="0.55000000000000004">
      <c r="A23" t="s">
        <v>132</v>
      </c>
      <c r="B23" t="s">
        <v>327</v>
      </c>
      <c r="C23" t="s">
        <v>328</v>
      </c>
      <c r="D23">
        <v>3</v>
      </c>
      <c r="E23" s="1">
        <v>12000</v>
      </c>
      <c r="F23" s="1">
        <f>Table3[[#This Row],[UnitPrice]]*Table3[[#This Row],[Quantity]]</f>
        <v>36000</v>
      </c>
      <c r="I23" s="2" t="s">
        <v>335</v>
      </c>
      <c r="J23" s="5">
        <v>14934000</v>
      </c>
    </row>
    <row r="24" spans="1:10" x14ac:dyDescent="0.55000000000000004">
      <c r="A24" t="s">
        <v>133</v>
      </c>
      <c r="B24" t="s">
        <v>327</v>
      </c>
      <c r="C24" t="s">
        <v>328</v>
      </c>
      <c r="D24">
        <v>3</v>
      </c>
      <c r="E24" s="1">
        <v>12000</v>
      </c>
      <c r="F24" s="1">
        <f>Table3[[#This Row],[UnitPrice]]*Table3[[#This Row],[Quantity]]</f>
        <v>36000</v>
      </c>
    </row>
    <row r="25" spans="1:10" x14ac:dyDescent="0.55000000000000004">
      <c r="A25" t="s">
        <v>134</v>
      </c>
      <c r="B25" t="s">
        <v>327</v>
      </c>
      <c r="C25" t="s">
        <v>328</v>
      </c>
      <c r="D25">
        <v>2</v>
      </c>
      <c r="E25" s="1">
        <v>12000</v>
      </c>
      <c r="F25" s="1">
        <f>Table3[[#This Row],[UnitPrice]]*Table3[[#This Row],[Quantity]]</f>
        <v>24000</v>
      </c>
    </row>
    <row r="26" spans="1:10" x14ac:dyDescent="0.55000000000000004">
      <c r="A26" t="s">
        <v>134</v>
      </c>
      <c r="B26" t="s">
        <v>327</v>
      </c>
      <c r="C26" t="s">
        <v>328</v>
      </c>
      <c r="D26">
        <v>3</v>
      </c>
      <c r="E26" s="1">
        <v>12000</v>
      </c>
      <c r="F26" s="1">
        <f>Table3[[#This Row],[UnitPrice]]*Table3[[#This Row],[Quantity]]</f>
        <v>36000</v>
      </c>
    </row>
    <row r="27" spans="1:10" x14ac:dyDescent="0.55000000000000004">
      <c r="A27" t="s">
        <v>135</v>
      </c>
      <c r="B27" t="s">
        <v>327</v>
      </c>
      <c r="C27" t="s">
        <v>328</v>
      </c>
      <c r="D27">
        <v>2</v>
      </c>
      <c r="E27" s="1">
        <v>12000</v>
      </c>
      <c r="F27" s="1">
        <f>Table3[[#This Row],[UnitPrice]]*Table3[[#This Row],[Quantity]]</f>
        <v>24000</v>
      </c>
    </row>
    <row r="28" spans="1:10" x14ac:dyDescent="0.55000000000000004">
      <c r="A28" t="s">
        <v>136</v>
      </c>
      <c r="B28" t="s">
        <v>332</v>
      </c>
      <c r="C28" t="s">
        <v>326</v>
      </c>
      <c r="D28">
        <v>5</v>
      </c>
      <c r="E28" s="1">
        <v>500</v>
      </c>
      <c r="F28" s="1">
        <f>Table3[[#This Row],[UnitPrice]]*Table3[[#This Row],[Quantity]]</f>
        <v>2500</v>
      </c>
    </row>
    <row r="29" spans="1:10" x14ac:dyDescent="0.55000000000000004">
      <c r="A29" t="s">
        <v>136</v>
      </c>
      <c r="B29" t="s">
        <v>325</v>
      </c>
      <c r="C29" t="s">
        <v>326</v>
      </c>
      <c r="D29">
        <v>1</v>
      </c>
      <c r="E29" s="1">
        <v>2500</v>
      </c>
      <c r="F29" s="1">
        <f>Table3[[#This Row],[UnitPrice]]*Table3[[#This Row],[Quantity]]</f>
        <v>2500</v>
      </c>
    </row>
    <row r="30" spans="1:10" x14ac:dyDescent="0.55000000000000004">
      <c r="A30" t="s">
        <v>136</v>
      </c>
      <c r="B30" t="s">
        <v>329</v>
      </c>
      <c r="C30" t="s">
        <v>326</v>
      </c>
      <c r="D30">
        <v>2</v>
      </c>
      <c r="E30" s="1">
        <v>1500</v>
      </c>
      <c r="F30" s="1">
        <f>Table3[[#This Row],[UnitPrice]]*Table3[[#This Row],[Quantity]]</f>
        <v>3000</v>
      </c>
    </row>
    <row r="31" spans="1:10" x14ac:dyDescent="0.55000000000000004">
      <c r="A31" t="s">
        <v>137</v>
      </c>
      <c r="B31" t="s">
        <v>325</v>
      </c>
      <c r="C31" t="s">
        <v>326</v>
      </c>
      <c r="D31">
        <v>2</v>
      </c>
      <c r="E31" s="1">
        <v>2500</v>
      </c>
      <c r="F31" s="1">
        <f>Table3[[#This Row],[UnitPrice]]*Table3[[#This Row],[Quantity]]</f>
        <v>5000</v>
      </c>
    </row>
    <row r="32" spans="1:10" x14ac:dyDescent="0.55000000000000004">
      <c r="A32" t="s">
        <v>138</v>
      </c>
      <c r="B32" t="s">
        <v>325</v>
      </c>
      <c r="C32" t="s">
        <v>326</v>
      </c>
      <c r="D32">
        <v>3</v>
      </c>
      <c r="E32" s="1">
        <v>2500</v>
      </c>
      <c r="F32" s="1">
        <f>Table3[[#This Row],[UnitPrice]]*Table3[[#This Row],[Quantity]]</f>
        <v>7500</v>
      </c>
    </row>
    <row r="33" spans="1:6" x14ac:dyDescent="0.55000000000000004">
      <c r="A33" t="s">
        <v>138</v>
      </c>
      <c r="B33" t="s">
        <v>327</v>
      </c>
      <c r="C33" t="s">
        <v>328</v>
      </c>
      <c r="D33">
        <v>3</v>
      </c>
      <c r="E33" s="1">
        <v>12000</v>
      </c>
      <c r="F33" s="1">
        <f>Table3[[#This Row],[UnitPrice]]*Table3[[#This Row],[Quantity]]</f>
        <v>36000</v>
      </c>
    </row>
    <row r="34" spans="1:6" x14ac:dyDescent="0.55000000000000004">
      <c r="A34" t="s">
        <v>139</v>
      </c>
      <c r="B34" t="s">
        <v>334</v>
      </c>
      <c r="C34" t="s">
        <v>328</v>
      </c>
      <c r="D34">
        <v>5</v>
      </c>
      <c r="E34" s="1">
        <v>55000</v>
      </c>
      <c r="F34" s="1">
        <f>Table3[[#This Row],[UnitPrice]]*Table3[[#This Row],[Quantity]]</f>
        <v>275000</v>
      </c>
    </row>
    <row r="35" spans="1:6" x14ac:dyDescent="0.55000000000000004">
      <c r="A35" t="s">
        <v>139</v>
      </c>
      <c r="B35" t="s">
        <v>330</v>
      </c>
      <c r="C35" t="s">
        <v>331</v>
      </c>
      <c r="D35">
        <v>1</v>
      </c>
      <c r="E35" s="1">
        <v>7000</v>
      </c>
      <c r="F35" s="1">
        <f>Table3[[#This Row],[UnitPrice]]*Table3[[#This Row],[Quantity]]</f>
        <v>7000</v>
      </c>
    </row>
    <row r="36" spans="1:6" x14ac:dyDescent="0.55000000000000004">
      <c r="A36" t="s">
        <v>139</v>
      </c>
      <c r="B36" t="s">
        <v>329</v>
      </c>
      <c r="C36" t="s">
        <v>326</v>
      </c>
      <c r="D36">
        <v>5</v>
      </c>
      <c r="E36" s="1">
        <v>1500</v>
      </c>
      <c r="F36" s="1">
        <f>Table3[[#This Row],[UnitPrice]]*Table3[[#This Row],[Quantity]]</f>
        <v>7500</v>
      </c>
    </row>
    <row r="37" spans="1:6" x14ac:dyDescent="0.55000000000000004">
      <c r="A37" t="s">
        <v>140</v>
      </c>
      <c r="B37" t="s">
        <v>330</v>
      </c>
      <c r="C37" t="s">
        <v>331</v>
      </c>
      <c r="D37">
        <v>5</v>
      </c>
      <c r="E37" s="1">
        <v>7000</v>
      </c>
      <c r="F37" s="1">
        <f>Table3[[#This Row],[UnitPrice]]*Table3[[#This Row],[Quantity]]</f>
        <v>35000</v>
      </c>
    </row>
    <row r="38" spans="1:6" x14ac:dyDescent="0.55000000000000004">
      <c r="A38" t="s">
        <v>140</v>
      </c>
      <c r="B38" t="s">
        <v>332</v>
      </c>
      <c r="C38" t="s">
        <v>326</v>
      </c>
      <c r="D38">
        <v>2</v>
      </c>
      <c r="E38" s="1">
        <v>500</v>
      </c>
      <c r="F38" s="1">
        <f>Table3[[#This Row],[UnitPrice]]*Table3[[#This Row],[Quantity]]</f>
        <v>1000</v>
      </c>
    </row>
    <row r="39" spans="1:6" x14ac:dyDescent="0.55000000000000004">
      <c r="A39" t="s">
        <v>141</v>
      </c>
      <c r="B39" t="s">
        <v>325</v>
      </c>
      <c r="C39" t="s">
        <v>326</v>
      </c>
      <c r="D39">
        <v>2</v>
      </c>
      <c r="E39" s="1">
        <v>2500</v>
      </c>
      <c r="F39" s="1">
        <f>Table3[[#This Row],[UnitPrice]]*Table3[[#This Row],[Quantity]]</f>
        <v>5000</v>
      </c>
    </row>
    <row r="40" spans="1:6" x14ac:dyDescent="0.55000000000000004">
      <c r="A40" t="s">
        <v>141</v>
      </c>
      <c r="B40" t="s">
        <v>325</v>
      </c>
      <c r="C40" t="s">
        <v>326</v>
      </c>
      <c r="D40">
        <v>2</v>
      </c>
      <c r="E40" s="1">
        <v>2500</v>
      </c>
      <c r="F40" s="1">
        <f>Table3[[#This Row],[UnitPrice]]*Table3[[#This Row],[Quantity]]</f>
        <v>5000</v>
      </c>
    </row>
    <row r="41" spans="1:6" x14ac:dyDescent="0.55000000000000004">
      <c r="A41" t="s">
        <v>141</v>
      </c>
      <c r="B41" t="s">
        <v>332</v>
      </c>
      <c r="C41" t="s">
        <v>326</v>
      </c>
      <c r="D41">
        <v>4</v>
      </c>
      <c r="E41" s="1">
        <v>500</v>
      </c>
      <c r="F41" s="1">
        <f>Table3[[#This Row],[UnitPrice]]*Table3[[#This Row],[Quantity]]</f>
        <v>2000</v>
      </c>
    </row>
    <row r="42" spans="1:6" x14ac:dyDescent="0.55000000000000004">
      <c r="A42" t="s">
        <v>142</v>
      </c>
      <c r="B42" t="s">
        <v>327</v>
      </c>
      <c r="C42" t="s">
        <v>328</v>
      </c>
      <c r="D42">
        <v>3</v>
      </c>
      <c r="E42" s="1">
        <v>12000</v>
      </c>
      <c r="F42" s="1">
        <f>Table3[[#This Row],[UnitPrice]]*Table3[[#This Row],[Quantity]]</f>
        <v>36000</v>
      </c>
    </row>
    <row r="43" spans="1:6" x14ac:dyDescent="0.55000000000000004">
      <c r="A43" t="s">
        <v>142</v>
      </c>
      <c r="B43" t="s">
        <v>333</v>
      </c>
      <c r="C43" t="s">
        <v>331</v>
      </c>
      <c r="D43">
        <v>2</v>
      </c>
      <c r="E43" s="1">
        <v>15000</v>
      </c>
      <c r="F43" s="1">
        <f>Table3[[#This Row],[UnitPrice]]*Table3[[#This Row],[Quantity]]</f>
        <v>30000</v>
      </c>
    </row>
    <row r="44" spans="1:6" x14ac:dyDescent="0.55000000000000004">
      <c r="A44" t="s">
        <v>142</v>
      </c>
      <c r="B44" t="s">
        <v>329</v>
      </c>
      <c r="C44" t="s">
        <v>326</v>
      </c>
      <c r="D44">
        <v>2</v>
      </c>
      <c r="E44" s="1">
        <v>1500</v>
      </c>
      <c r="F44" s="1">
        <f>Table3[[#This Row],[UnitPrice]]*Table3[[#This Row],[Quantity]]</f>
        <v>3000</v>
      </c>
    </row>
    <row r="45" spans="1:6" x14ac:dyDescent="0.55000000000000004">
      <c r="A45" t="s">
        <v>143</v>
      </c>
      <c r="B45" t="s">
        <v>330</v>
      </c>
      <c r="C45" t="s">
        <v>331</v>
      </c>
      <c r="D45">
        <v>2</v>
      </c>
      <c r="E45" s="1">
        <v>7000</v>
      </c>
      <c r="F45" s="1">
        <f>Table3[[#This Row],[UnitPrice]]*Table3[[#This Row],[Quantity]]</f>
        <v>14000</v>
      </c>
    </row>
    <row r="46" spans="1:6" x14ac:dyDescent="0.55000000000000004">
      <c r="A46" t="s">
        <v>143</v>
      </c>
      <c r="B46" t="s">
        <v>333</v>
      </c>
      <c r="C46" t="s">
        <v>331</v>
      </c>
      <c r="D46">
        <v>1</v>
      </c>
      <c r="E46" s="1">
        <v>15000</v>
      </c>
      <c r="F46" s="1">
        <f>Table3[[#This Row],[UnitPrice]]*Table3[[#This Row],[Quantity]]</f>
        <v>15000</v>
      </c>
    </row>
    <row r="47" spans="1:6" x14ac:dyDescent="0.55000000000000004">
      <c r="A47" t="s">
        <v>143</v>
      </c>
      <c r="B47" t="s">
        <v>327</v>
      </c>
      <c r="C47" t="s">
        <v>328</v>
      </c>
      <c r="D47">
        <v>4</v>
      </c>
      <c r="E47" s="1">
        <v>12000</v>
      </c>
      <c r="F47" s="1">
        <f>Table3[[#This Row],[UnitPrice]]*Table3[[#This Row],[Quantity]]</f>
        <v>48000</v>
      </c>
    </row>
    <row r="48" spans="1:6" x14ac:dyDescent="0.55000000000000004">
      <c r="A48" t="s">
        <v>144</v>
      </c>
      <c r="B48" t="s">
        <v>327</v>
      </c>
      <c r="C48" t="s">
        <v>328</v>
      </c>
      <c r="D48">
        <v>4</v>
      </c>
      <c r="E48" s="1">
        <v>12000</v>
      </c>
      <c r="F48" s="1">
        <f>Table3[[#This Row],[UnitPrice]]*Table3[[#This Row],[Quantity]]</f>
        <v>48000</v>
      </c>
    </row>
    <row r="49" spans="1:6" x14ac:dyDescent="0.55000000000000004">
      <c r="A49" t="s">
        <v>144</v>
      </c>
      <c r="B49" t="s">
        <v>333</v>
      </c>
      <c r="C49" t="s">
        <v>331</v>
      </c>
      <c r="D49">
        <v>5</v>
      </c>
      <c r="E49" s="1">
        <v>15000</v>
      </c>
      <c r="F49" s="1">
        <f>Table3[[#This Row],[UnitPrice]]*Table3[[#This Row],[Quantity]]</f>
        <v>75000</v>
      </c>
    </row>
    <row r="50" spans="1:6" x14ac:dyDescent="0.55000000000000004">
      <c r="A50" t="s">
        <v>145</v>
      </c>
      <c r="B50" t="s">
        <v>333</v>
      </c>
      <c r="C50" t="s">
        <v>331</v>
      </c>
      <c r="D50">
        <v>5</v>
      </c>
      <c r="E50" s="1">
        <v>15000</v>
      </c>
      <c r="F50" s="1">
        <f>Table3[[#This Row],[UnitPrice]]*Table3[[#This Row],[Quantity]]</f>
        <v>75000</v>
      </c>
    </row>
    <row r="51" spans="1:6" x14ac:dyDescent="0.55000000000000004">
      <c r="A51" t="s">
        <v>145</v>
      </c>
      <c r="B51" t="s">
        <v>329</v>
      </c>
      <c r="C51" t="s">
        <v>326</v>
      </c>
      <c r="D51">
        <v>3</v>
      </c>
      <c r="E51" s="1">
        <v>1500</v>
      </c>
      <c r="F51" s="1">
        <f>Table3[[#This Row],[UnitPrice]]*Table3[[#This Row],[Quantity]]</f>
        <v>4500</v>
      </c>
    </row>
    <row r="52" spans="1:6" x14ac:dyDescent="0.55000000000000004">
      <c r="A52" t="s">
        <v>146</v>
      </c>
      <c r="B52" t="s">
        <v>325</v>
      </c>
      <c r="C52" t="s">
        <v>326</v>
      </c>
      <c r="D52">
        <v>4</v>
      </c>
      <c r="E52" s="1">
        <v>2500</v>
      </c>
      <c r="F52" s="1">
        <f>Table3[[#This Row],[UnitPrice]]*Table3[[#This Row],[Quantity]]</f>
        <v>10000</v>
      </c>
    </row>
    <row r="53" spans="1:6" x14ac:dyDescent="0.55000000000000004">
      <c r="A53" t="s">
        <v>146</v>
      </c>
      <c r="B53" t="s">
        <v>333</v>
      </c>
      <c r="C53" t="s">
        <v>331</v>
      </c>
      <c r="D53">
        <v>4</v>
      </c>
      <c r="E53" s="1">
        <v>15000</v>
      </c>
      <c r="F53" s="1">
        <f>Table3[[#This Row],[UnitPrice]]*Table3[[#This Row],[Quantity]]</f>
        <v>60000</v>
      </c>
    </row>
    <row r="54" spans="1:6" x14ac:dyDescent="0.55000000000000004">
      <c r="A54" t="s">
        <v>146</v>
      </c>
      <c r="B54" t="s">
        <v>330</v>
      </c>
      <c r="C54" t="s">
        <v>331</v>
      </c>
      <c r="D54">
        <v>2</v>
      </c>
      <c r="E54" s="1">
        <v>7000</v>
      </c>
      <c r="F54" s="1">
        <f>Table3[[#This Row],[UnitPrice]]*Table3[[#This Row],[Quantity]]</f>
        <v>14000</v>
      </c>
    </row>
    <row r="55" spans="1:6" x14ac:dyDescent="0.55000000000000004">
      <c r="A55" t="s">
        <v>147</v>
      </c>
      <c r="B55" t="s">
        <v>325</v>
      </c>
      <c r="C55" t="s">
        <v>326</v>
      </c>
      <c r="D55">
        <v>2</v>
      </c>
      <c r="E55" s="1">
        <v>2500</v>
      </c>
      <c r="F55" s="1">
        <f>Table3[[#This Row],[UnitPrice]]*Table3[[#This Row],[Quantity]]</f>
        <v>5000</v>
      </c>
    </row>
    <row r="56" spans="1:6" x14ac:dyDescent="0.55000000000000004">
      <c r="A56" t="s">
        <v>148</v>
      </c>
      <c r="B56" t="s">
        <v>333</v>
      </c>
      <c r="C56" t="s">
        <v>331</v>
      </c>
      <c r="D56">
        <v>4</v>
      </c>
      <c r="E56" s="1">
        <v>15000</v>
      </c>
      <c r="F56" s="1">
        <f>Table3[[#This Row],[UnitPrice]]*Table3[[#This Row],[Quantity]]</f>
        <v>60000</v>
      </c>
    </row>
    <row r="57" spans="1:6" x14ac:dyDescent="0.55000000000000004">
      <c r="A57" t="s">
        <v>148</v>
      </c>
      <c r="B57" t="s">
        <v>334</v>
      </c>
      <c r="C57" t="s">
        <v>328</v>
      </c>
      <c r="D57">
        <v>1</v>
      </c>
      <c r="E57" s="1">
        <v>55000</v>
      </c>
      <c r="F57" s="1">
        <f>Table3[[#This Row],[UnitPrice]]*Table3[[#This Row],[Quantity]]</f>
        <v>55000</v>
      </c>
    </row>
    <row r="58" spans="1:6" x14ac:dyDescent="0.55000000000000004">
      <c r="A58" t="s">
        <v>149</v>
      </c>
      <c r="B58" t="s">
        <v>332</v>
      </c>
      <c r="C58" t="s">
        <v>326</v>
      </c>
      <c r="D58">
        <v>1</v>
      </c>
      <c r="E58" s="1">
        <v>500</v>
      </c>
      <c r="F58" s="1">
        <f>Table3[[#This Row],[UnitPrice]]*Table3[[#This Row],[Quantity]]</f>
        <v>500</v>
      </c>
    </row>
    <row r="59" spans="1:6" x14ac:dyDescent="0.55000000000000004">
      <c r="A59" t="s">
        <v>150</v>
      </c>
      <c r="B59" t="s">
        <v>330</v>
      </c>
      <c r="C59" t="s">
        <v>331</v>
      </c>
      <c r="D59">
        <v>2</v>
      </c>
      <c r="E59" s="1">
        <v>7000</v>
      </c>
      <c r="F59" s="1">
        <f>Table3[[#This Row],[UnitPrice]]*Table3[[#This Row],[Quantity]]</f>
        <v>14000</v>
      </c>
    </row>
    <row r="60" spans="1:6" x14ac:dyDescent="0.55000000000000004">
      <c r="A60" t="s">
        <v>151</v>
      </c>
      <c r="B60" t="s">
        <v>330</v>
      </c>
      <c r="C60" t="s">
        <v>331</v>
      </c>
      <c r="D60">
        <v>4</v>
      </c>
      <c r="E60" s="1">
        <v>7000</v>
      </c>
      <c r="F60" s="1">
        <f>Table3[[#This Row],[UnitPrice]]*Table3[[#This Row],[Quantity]]</f>
        <v>28000</v>
      </c>
    </row>
    <row r="61" spans="1:6" x14ac:dyDescent="0.55000000000000004">
      <c r="A61" t="s">
        <v>152</v>
      </c>
      <c r="B61" t="s">
        <v>332</v>
      </c>
      <c r="C61" t="s">
        <v>326</v>
      </c>
      <c r="D61">
        <v>4</v>
      </c>
      <c r="E61" s="1">
        <v>500</v>
      </c>
      <c r="F61" s="1">
        <f>Table3[[#This Row],[UnitPrice]]*Table3[[#This Row],[Quantity]]</f>
        <v>2000</v>
      </c>
    </row>
    <row r="62" spans="1:6" x14ac:dyDescent="0.55000000000000004">
      <c r="A62" t="s">
        <v>152</v>
      </c>
      <c r="B62" t="s">
        <v>332</v>
      </c>
      <c r="C62" t="s">
        <v>326</v>
      </c>
      <c r="D62">
        <v>1</v>
      </c>
      <c r="E62" s="1">
        <v>500</v>
      </c>
      <c r="F62" s="1">
        <f>Table3[[#This Row],[UnitPrice]]*Table3[[#This Row],[Quantity]]</f>
        <v>500</v>
      </c>
    </row>
    <row r="63" spans="1:6" x14ac:dyDescent="0.55000000000000004">
      <c r="A63" t="s">
        <v>153</v>
      </c>
      <c r="B63" t="s">
        <v>332</v>
      </c>
      <c r="C63" t="s">
        <v>326</v>
      </c>
      <c r="D63">
        <v>5</v>
      </c>
      <c r="E63" s="1">
        <v>500</v>
      </c>
      <c r="F63" s="1">
        <f>Table3[[#This Row],[UnitPrice]]*Table3[[#This Row],[Quantity]]</f>
        <v>2500</v>
      </c>
    </row>
    <row r="64" spans="1:6" x14ac:dyDescent="0.55000000000000004">
      <c r="A64" t="s">
        <v>153</v>
      </c>
      <c r="B64" t="s">
        <v>333</v>
      </c>
      <c r="C64" t="s">
        <v>331</v>
      </c>
      <c r="D64">
        <v>5</v>
      </c>
      <c r="E64" s="1">
        <v>15000</v>
      </c>
      <c r="F64" s="1">
        <f>Table3[[#This Row],[UnitPrice]]*Table3[[#This Row],[Quantity]]</f>
        <v>75000</v>
      </c>
    </row>
    <row r="65" spans="1:6" x14ac:dyDescent="0.55000000000000004">
      <c r="A65" t="s">
        <v>153</v>
      </c>
      <c r="B65" t="s">
        <v>325</v>
      </c>
      <c r="C65" t="s">
        <v>326</v>
      </c>
      <c r="D65">
        <v>3</v>
      </c>
      <c r="E65" s="1">
        <v>2500</v>
      </c>
      <c r="F65" s="1">
        <f>Table3[[#This Row],[UnitPrice]]*Table3[[#This Row],[Quantity]]</f>
        <v>7500</v>
      </c>
    </row>
    <row r="66" spans="1:6" x14ac:dyDescent="0.55000000000000004">
      <c r="A66" t="s">
        <v>154</v>
      </c>
      <c r="B66" t="s">
        <v>327</v>
      </c>
      <c r="C66" t="s">
        <v>328</v>
      </c>
      <c r="D66">
        <v>2</v>
      </c>
      <c r="E66" s="1">
        <v>12000</v>
      </c>
      <c r="F66" s="1">
        <f>Table3[[#This Row],[UnitPrice]]*Table3[[#This Row],[Quantity]]</f>
        <v>24000</v>
      </c>
    </row>
    <row r="67" spans="1:6" x14ac:dyDescent="0.55000000000000004">
      <c r="A67" t="s">
        <v>154</v>
      </c>
      <c r="B67" t="s">
        <v>334</v>
      </c>
      <c r="C67" t="s">
        <v>328</v>
      </c>
      <c r="D67">
        <v>1</v>
      </c>
      <c r="E67" s="1">
        <v>55000</v>
      </c>
      <c r="F67" s="1">
        <f>Table3[[#This Row],[UnitPrice]]*Table3[[#This Row],[Quantity]]</f>
        <v>55000</v>
      </c>
    </row>
    <row r="68" spans="1:6" x14ac:dyDescent="0.55000000000000004">
      <c r="A68" t="s">
        <v>154</v>
      </c>
      <c r="B68" t="s">
        <v>332</v>
      </c>
      <c r="C68" t="s">
        <v>326</v>
      </c>
      <c r="D68">
        <v>4</v>
      </c>
      <c r="E68" s="1">
        <v>500</v>
      </c>
      <c r="F68" s="1">
        <f>Table3[[#This Row],[UnitPrice]]*Table3[[#This Row],[Quantity]]</f>
        <v>2000</v>
      </c>
    </row>
    <row r="69" spans="1:6" x14ac:dyDescent="0.55000000000000004">
      <c r="A69" t="s">
        <v>155</v>
      </c>
      <c r="B69" t="s">
        <v>332</v>
      </c>
      <c r="C69" t="s">
        <v>326</v>
      </c>
      <c r="D69">
        <v>3</v>
      </c>
      <c r="E69" s="1">
        <v>500</v>
      </c>
      <c r="F69" s="1">
        <f>Table3[[#This Row],[UnitPrice]]*Table3[[#This Row],[Quantity]]</f>
        <v>1500</v>
      </c>
    </row>
    <row r="70" spans="1:6" x14ac:dyDescent="0.55000000000000004">
      <c r="A70" t="s">
        <v>155</v>
      </c>
      <c r="B70" t="s">
        <v>327</v>
      </c>
      <c r="C70" t="s">
        <v>328</v>
      </c>
      <c r="D70">
        <v>4</v>
      </c>
      <c r="E70" s="1">
        <v>12000</v>
      </c>
      <c r="F70" s="1">
        <f>Table3[[#This Row],[UnitPrice]]*Table3[[#This Row],[Quantity]]</f>
        <v>48000</v>
      </c>
    </row>
    <row r="71" spans="1:6" x14ac:dyDescent="0.55000000000000004">
      <c r="A71" t="s">
        <v>155</v>
      </c>
      <c r="B71" t="s">
        <v>332</v>
      </c>
      <c r="C71" t="s">
        <v>326</v>
      </c>
      <c r="D71">
        <v>4</v>
      </c>
      <c r="E71" s="1">
        <v>500</v>
      </c>
      <c r="F71" s="1">
        <f>Table3[[#This Row],[UnitPrice]]*Table3[[#This Row],[Quantity]]</f>
        <v>2000</v>
      </c>
    </row>
    <row r="72" spans="1:6" x14ac:dyDescent="0.55000000000000004">
      <c r="A72" t="s">
        <v>156</v>
      </c>
      <c r="B72" t="s">
        <v>333</v>
      </c>
      <c r="C72" t="s">
        <v>331</v>
      </c>
      <c r="D72">
        <v>5</v>
      </c>
      <c r="E72" s="1">
        <v>15000</v>
      </c>
      <c r="F72" s="1">
        <f>Table3[[#This Row],[UnitPrice]]*Table3[[#This Row],[Quantity]]</f>
        <v>75000</v>
      </c>
    </row>
    <row r="73" spans="1:6" x14ac:dyDescent="0.55000000000000004">
      <c r="A73" t="s">
        <v>156</v>
      </c>
      <c r="B73" t="s">
        <v>332</v>
      </c>
      <c r="C73" t="s">
        <v>326</v>
      </c>
      <c r="D73">
        <v>5</v>
      </c>
      <c r="E73" s="1">
        <v>500</v>
      </c>
      <c r="F73" s="1">
        <f>Table3[[#This Row],[UnitPrice]]*Table3[[#This Row],[Quantity]]</f>
        <v>2500</v>
      </c>
    </row>
    <row r="74" spans="1:6" x14ac:dyDescent="0.55000000000000004">
      <c r="A74" t="s">
        <v>157</v>
      </c>
      <c r="B74" t="s">
        <v>334</v>
      </c>
      <c r="C74" t="s">
        <v>328</v>
      </c>
      <c r="D74">
        <v>1</v>
      </c>
      <c r="E74" s="1">
        <v>55000</v>
      </c>
      <c r="F74" s="1">
        <f>Table3[[#This Row],[UnitPrice]]*Table3[[#This Row],[Quantity]]</f>
        <v>55000</v>
      </c>
    </row>
    <row r="75" spans="1:6" x14ac:dyDescent="0.55000000000000004">
      <c r="A75" t="s">
        <v>158</v>
      </c>
      <c r="B75" t="s">
        <v>332</v>
      </c>
      <c r="C75" t="s">
        <v>326</v>
      </c>
      <c r="D75">
        <v>4</v>
      </c>
      <c r="E75" s="1">
        <v>500</v>
      </c>
      <c r="F75" s="1">
        <f>Table3[[#This Row],[UnitPrice]]*Table3[[#This Row],[Quantity]]</f>
        <v>2000</v>
      </c>
    </row>
    <row r="76" spans="1:6" x14ac:dyDescent="0.55000000000000004">
      <c r="A76" t="s">
        <v>158</v>
      </c>
      <c r="B76" t="s">
        <v>334</v>
      </c>
      <c r="C76" t="s">
        <v>328</v>
      </c>
      <c r="D76">
        <v>3</v>
      </c>
      <c r="E76" s="1">
        <v>55000</v>
      </c>
      <c r="F76" s="1">
        <f>Table3[[#This Row],[UnitPrice]]*Table3[[#This Row],[Quantity]]</f>
        <v>165000</v>
      </c>
    </row>
    <row r="77" spans="1:6" x14ac:dyDescent="0.55000000000000004">
      <c r="A77" t="s">
        <v>158</v>
      </c>
      <c r="B77" t="s">
        <v>327</v>
      </c>
      <c r="C77" t="s">
        <v>328</v>
      </c>
      <c r="D77">
        <v>2</v>
      </c>
      <c r="E77" s="1">
        <v>12000</v>
      </c>
      <c r="F77" s="1">
        <f>Table3[[#This Row],[UnitPrice]]*Table3[[#This Row],[Quantity]]</f>
        <v>24000</v>
      </c>
    </row>
    <row r="78" spans="1:6" x14ac:dyDescent="0.55000000000000004">
      <c r="A78" t="s">
        <v>159</v>
      </c>
      <c r="B78" t="s">
        <v>327</v>
      </c>
      <c r="C78" t="s">
        <v>328</v>
      </c>
      <c r="D78">
        <v>5</v>
      </c>
      <c r="E78" s="1">
        <v>12000</v>
      </c>
      <c r="F78" s="1">
        <f>Table3[[#This Row],[UnitPrice]]*Table3[[#This Row],[Quantity]]</f>
        <v>60000</v>
      </c>
    </row>
    <row r="79" spans="1:6" x14ac:dyDescent="0.55000000000000004">
      <c r="A79" t="s">
        <v>159</v>
      </c>
      <c r="B79" t="s">
        <v>334</v>
      </c>
      <c r="C79" t="s">
        <v>328</v>
      </c>
      <c r="D79">
        <v>2</v>
      </c>
      <c r="E79" s="1">
        <v>55000</v>
      </c>
      <c r="F79" s="1">
        <f>Table3[[#This Row],[UnitPrice]]*Table3[[#This Row],[Quantity]]</f>
        <v>110000</v>
      </c>
    </row>
    <row r="80" spans="1:6" x14ac:dyDescent="0.55000000000000004">
      <c r="A80" t="s">
        <v>160</v>
      </c>
      <c r="B80" t="s">
        <v>333</v>
      </c>
      <c r="C80" t="s">
        <v>331</v>
      </c>
      <c r="D80">
        <v>3</v>
      </c>
      <c r="E80" s="1">
        <v>15000</v>
      </c>
      <c r="F80" s="1">
        <f>Table3[[#This Row],[UnitPrice]]*Table3[[#This Row],[Quantity]]</f>
        <v>45000</v>
      </c>
    </row>
    <row r="81" spans="1:6" x14ac:dyDescent="0.55000000000000004">
      <c r="A81" t="s">
        <v>160</v>
      </c>
      <c r="B81" t="s">
        <v>333</v>
      </c>
      <c r="C81" t="s">
        <v>331</v>
      </c>
      <c r="D81">
        <v>1</v>
      </c>
      <c r="E81" s="1">
        <v>15000</v>
      </c>
      <c r="F81" s="1">
        <f>Table3[[#This Row],[UnitPrice]]*Table3[[#This Row],[Quantity]]</f>
        <v>15000</v>
      </c>
    </row>
    <row r="82" spans="1:6" x14ac:dyDescent="0.55000000000000004">
      <c r="A82" t="s">
        <v>161</v>
      </c>
      <c r="B82" t="s">
        <v>334</v>
      </c>
      <c r="C82" t="s">
        <v>328</v>
      </c>
      <c r="D82">
        <v>3</v>
      </c>
      <c r="E82" s="1">
        <v>55000</v>
      </c>
      <c r="F82" s="1">
        <f>Table3[[#This Row],[UnitPrice]]*Table3[[#This Row],[Quantity]]</f>
        <v>165000</v>
      </c>
    </row>
    <row r="83" spans="1:6" x14ac:dyDescent="0.55000000000000004">
      <c r="A83" t="s">
        <v>162</v>
      </c>
      <c r="B83" t="s">
        <v>333</v>
      </c>
      <c r="C83" t="s">
        <v>331</v>
      </c>
      <c r="D83">
        <v>4</v>
      </c>
      <c r="E83" s="1">
        <v>15000</v>
      </c>
      <c r="F83" s="1">
        <f>Table3[[#This Row],[UnitPrice]]*Table3[[#This Row],[Quantity]]</f>
        <v>60000</v>
      </c>
    </row>
    <row r="84" spans="1:6" x14ac:dyDescent="0.55000000000000004">
      <c r="A84" t="s">
        <v>163</v>
      </c>
      <c r="B84" t="s">
        <v>327</v>
      </c>
      <c r="C84" t="s">
        <v>328</v>
      </c>
      <c r="D84">
        <v>1</v>
      </c>
      <c r="E84" s="1">
        <v>12000</v>
      </c>
      <c r="F84" s="1">
        <f>Table3[[#This Row],[UnitPrice]]*Table3[[#This Row],[Quantity]]</f>
        <v>12000</v>
      </c>
    </row>
    <row r="85" spans="1:6" x14ac:dyDescent="0.55000000000000004">
      <c r="A85" t="s">
        <v>163</v>
      </c>
      <c r="B85" t="s">
        <v>329</v>
      </c>
      <c r="C85" t="s">
        <v>326</v>
      </c>
      <c r="D85">
        <v>1</v>
      </c>
      <c r="E85" s="1">
        <v>1500</v>
      </c>
      <c r="F85" s="1">
        <f>Table3[[#This Row],[UnitPrice]]*Table3[[#This Row],[Quantity]]</f>
        <v>1500</v>
      </c>
    </row>
    <row r="86" spans="1:6" x14ac:dyDescent="0.55000000000000004">
      <c r="A86" t="s">
        <v>163</v>
      </c>
      <c r="B86" t="s">
        <v>327</v>
      </c>
      <c r="C86" t="s">
        <v>328</v>
      </c>
      <c r="D86">
        <v>1</v>
      </c>
      <c r="E86" s="1">
        <v>12000</v>
      </c>
      <c r="F86" s="1">
        <f>Table3[[#This Row],[UnitPrice]]*Table3[[#This Row],[Quantity]]</f>
        <v>12000</v>
      </c>
    </row>
    <row r="87" spans="1:6" x14ac:dyDescent="0.55000000000000004">
      <c r="A87" t="s">
        <v>164</v>
      </c>
      <c r="B87" t="s">
        <v>330</v>
      </c>
      <c r="C87" t="s">
        <v>331</v>
      </c>
      <c r="D87">
        <v>5</v>
      </c>
      <c r="E87" s="1">
        <v>7000</v>
      </c>
      <c r="F87" s="1">
        <f>Table3[[#This Row],[UnitPrice]]*Table3[[#This Row],[Quantity]]</f>
        <v>35000</v>
      </c>
    </row>
    <row r="88" spans="1:6" x14ac:dyDescent="0.55000000000000004">
      <c r="A88" t="s">
        <v>164</v>
      </c>
      <c r="B88" t="s">
        <v>325</v>
      </c>
      <c r="C88" t="s">
        <v>326</v>
      </c>
      <c r="D88">
        <v>3</v>
      </c>
      <c r="E88" s="1">
        <v>2500</v>
      </c>
      <c r="F88" s="1">
        <f>Table3[[#This Row],[UnitPrice]]*Table3[[#This Row],[Quantity]]</f>
        <v>7500</v>
      </c>
    </row>
    <row r="89" spans="1:6" x14ac:dyDescent="0.55000000000000004">
      <c r="A89" t="s">
        <v>165</v>
      </c>
      <c r="B89" t="s">
        <v>334</v>
      </c>
      <c r="C89" t="s">
        <v>328</v>
      </c>
      <c r="D89">
        <v>1</v>
      </c>
      <c r="E89" s="1">
        <v>55000</v>
      </c>
      <c r="F89" s="1">
        <f>Table3[[#This Row],[UnitPrice]]*Table3[[#This Row],[Quantity]]</f>
        <v>55000</v>
      </c>
    </row>
    <row r="90" spans="1:6" x14ac:dyDescent="0.55000000000000004">
      <c r="A90" t="s">
        <v>165</v>
      </c>
      <c r="B90" t="s">
        <v>330</v>
      </c>
      <c r="C90" t="s">
        <v>331</v>
      </c>
      <c r="D90">
        <v>1</v>
      </c>
      <c r="E90" s="1">
        <v>7000</v>
      </c>
      <c r="F90" s="1">
        <f>Table3[[#This Row],[UnitPrice]]*Table3[[#This Row],[Quantity]]</f>
        <v>7000</v>
      </c>
    </row>
    <row r="91" spans="1:6" x14ac:dyDescent="0.55000000000000004">
      <c r="A91" t="s">
        <v>165</v>
      </c>
      <c r="B91" t="s">
        <v>325</v>
      </c>
      <c r="C91" t="s">
        <v>326</v>
      </c>
      <c r="D91">
        <v>3</v>
      </c>
      <c r="E91" s="1">
        <v>2500</v>
      </c>
      <c r="F91" s="1">
        <f>Table3[[#This Row],[UnitPrice]]*Table3[[#This Row],[Quantity]]</f>
        <v>7500</v>
      </c>
    </row>
    <row r="92" spans="1:6" x14ac:dyDescent="0.55000000000000004">
      <c r="A92" t="s">
        <v>166</v>
      </c>
      <c r="B92" t="s">
        <v>329</v>
      </c>
      <c r="C92" t="s">
        <v>326</v>
      </c>
      <c r="D92">
        <v>2</v>
      </c>
      <c r="E92" s="1">
        <v>1500</v>
      </c>
      <c r="F92" s="1">
        <f>Table3[[#This Row],[UnitPrice]]*Table3[[#This Row],[Quantity]]</f>
        <v>3000</v>
      </c>
    </row>
    <row r="93" spans="1:6" x14ac:dyDescent="0.55000000000000004">
      <c r="A93" t="s">
        <v>166</v>
      </c>
      <c r="B93" t="s">
        <v>333</v>
      </c>
      <c r="C93" t="s">
        <v>331</v>
      </c>
      <c r="D93">
        <v>3</v>
      </c>
      <c r="E93" s="1">
        <v>15000</v>
      </c>
      <c r="F93" s="1">
        <f>Table3[[#This Row],[UnitPrice]]*Table3[[#This Row],[Quantity]]</f>
        <v>45000</v>
      </c>
    </row>
    <row r="94" spans="1:6" x14ac:dyDescent="0.55000000000000004">
      <c r="A94" t="s">
        <v>166</v>
      </c>
      <c r="B94" t="s">
        <v>332</v>
      </c>
      <c r="C94" t="s">
        <v>326</v>
      </c>
      <c r="D94">
        <v>5</v>
      </c>
      <c r="E94" s="1">
        <v>500</v>
      </c>
      <c r="F94" s="1">
        <f>Table3[[#This Row],[UnitPrice]]*Table3[[#This Row],[Quantity]]</f>
        <v>2500</v>
      </c>
    </row>
    <row r="95" spans="1:6" x14ac:dyDescent="0.55000000000000004">
      <c r="A95" t="s">
        <v>167</v>
      </c>
      <c r="B95" t="s">
        <v>334</v>
      </c>
      <c r="C95" t="s">
        <v>328</v>
      </c>
      <c r="D95">
        <v>4</v>
      </c>
      <c r="E95" s="1">
        <v>55000</v>
      </c>
      <c r="F95" s="1">
        <f>Table3[[#This Row],[UnitPrice]]*Table3[[#This Row],[Quantity]]</f>
        <v>220000</v>
      </c>
    </row>
    <row r="96" spans="1:6" x14ac:dyDescent="0.55000000000000004">
      <c r="A96" t="s">
        <v>168</v>
      </c>
      <c r="B96" t="s">
        <v>327</v>
      </c>
      <c r="C96" t="s">
        <v>328</v>
      </c>
      <c r="D96">
        <v>2</v>
      </c>
      <c r="E96" s="1">
        <v>12000</v>
      </c>
      <c r="F96" s="1">
        <f>Table3[[#This Row],[UnitPrice]]*Table3[[#This Row],[Quantity]]</f>
        <v>24000</v>
      </c>
    </row>
    <row r="97" spans="1:6" x14ac:dyDescent="0.55000000000000004">
      <c r="A97" t="s">
        <v>168</v>
      </c>
      <c r="B97" t="s">
        <v>327</v>
      </c>
      <c r="C97" t="s">
        <v>328</v>
      </c>
      <c r="D97">
        <v>4</v>
      </c>
      <c r="E97" s="1">
        <v>12000</v>
      </c>
      <c r="F97" s="1">
        <f>Table3[[#This Row],[UnitPrice]]*Table3[[#This Row],[Quantity]]</f>
        <v>48000</v>
      </c>
    </row>
    <row r="98" spans="1:6" x14ac:dyDescent="0.55000000000000004">
      <c r="A98" t="s">
        <v>169</v>
      </c>
      <c r="B98" t="s">
        <v>332</v>
      </c>
      <c r="C98" t="s">
        <v>326</v>
      </c>
      <c r="D98">
        <v>2</v>
      </c>
      <c r="E98" s="1">
        <v>500</v>
      </c>
      <c r="F98" s="1">
        <f>Table3[[#This Row],[UnitPrice]]*Table3[[#This Row],[Quantity]]</f>
        <v>1000</v>
      </c>
    </row>
    <row r="99" spans="1:6" x14ac:dyDescent="0.55000000000000004">
      <c r="A99" t="s">
        <v>170</v>
      </c>
      <c r="B99" t="s">
        <v>329</v>
      </c>
      <c r="C99" t="s">
        <v>326</v>
      </c>
      <c r="D99">
        <v>4</v>
      </c>
      <c r="E99" s="1">
        <v>1500</v>
      </c>
      <c r="F99" s="1">
        <f>Table3[[#This Row],[UnitPrice]]*Table3[[#This Row],[Quantity]]</f>
        <v>6000</v>
      </c>
    </row>
    <row r="100" spans="1:6" x14ac:dyDescent="0.55000000000000004">
      <c r="A100" t="s">
        <v>170</v>
      </c>
      <c r="B100" t="s">
        <v>327</v>
      </c>
      <c r="C100" t="s">
        <v>328</v>
      </c>
      <c r="D100">
        <v>5</v>
      </c>
      <c r="E100" s="1">
        <v>12000</v>
      </c>
      <c r="F100" s="1">
        <f>Table3[[#This Row],[UnitPrice]]*Table3[[#This Row],[Quantity]]</f>
        <v>60000</v>
      </c>
    </row>
    <row r="101" spans="1:6" x14ac:dyDescent="0.55000000000000004">
      <c r="A101" t="s">
        <v>170</v>
      </c>
      <c r="B101" t="s">
        <v>327</v>
      </c>
      <c r="C101" t="s">
        <v>328</v>
      </c>
      <c r="D101">
        <v>4</v>
      </c>
      <c r="E101" s="1">
        <v>12000</v>
      </c>
      <c r="F101" s="1">
        <f>Table3[[#This Row],[UnitPrice]]*Table3[[#This Row],[Quantity]]</f>
        <v>48000</v>
      </c>
    </row>
    <row r="102" spans="1:6" x14ac:dyDescent="0.55000000000000004">
      <c r="A102" t="s">
        <v>171</v>
      </c>
      <c r="B102" t="s">
        <v>329</v>
      </c>
      <c r="C102" t="s">
        <v>326</v>
      </c>
      <c r="D102">
        <v>5</v>
      </c>
      <c r="E102" s="1">
        <v>1500</v>
      </c>
      <c r="F102" s="1">
        <f>Table3[[#This Row],[UnitPrice]]*Table3[[#This Row],[Quantity]]</f>
        <v>7500</v>
      </c>
    </row>
    <row r="103" spans="1:6" x14ac:dyDescent="0.55000000000000004">
      <c r="A103" t="s">
        <v>171</v>
      </c>
      <c r="B103" t="s">
        <v>329</v>
      </c>
      <c r="C103" t="s">
        <v>326</v>
      </c>
      <c r="D103">
        <v>3</v>
      </c>
      <c r="E103" s="1">
        <v>1500</v>
      </c>
      <c r="F103" s="1">
        <f>Table3[[#This Row],[UnitPrice]]*Table3[[#This Row],[Quantity]]</f>
        <v>4500</v>
      </c>
    </row>
    <row r="104" spans="1:6" x14ac:dyDescent="0.55000000000000004">
      <c r="A104" t="s">
        <v>172</v>
      </c>
      <c r="B104" t="s">
        <v>329</v>
      </c>
      <c r="C104" t="s">
        <v>326</v>
      </c>
      <c r="D104">
        <v>2</v>
      </c>
      <c r="E104" s="1">
        <v>1500</v>
      </c>
      <c r="F104" s="1">
        <f>Table3[[#This Row],[UnitPrice]]*Table3[[#This Row],[Quantity]]</f>
        <v>3000</v>
      </c>
    </row>
    <row r="105" spans="1:6" x14ac:dyDescent="0.55000000000000004">
      <c r="A105" t="s">
        <v>172</v>
      </c>
      <c r="B105" t="s">
        <v>325</v>
      </c>
      <c r="C105" t="s">
        <v>326</v>
      </c>
      <c r="D105">
        <v>2</v>
      </c>
      <c r="E105" s="1">
        <v>2500</v>
      </c>
      <c r="F105" s="1">
        <f>Table3[[#This Row],[UnitPrice]]*Table3[[#This Row],[Quantity]]</f>
        <v>5000</v>
      </c>
    </row>
    <row r="106" spans="1:6" x14ac:dyDescent="0.55000000000000004">
      <c r="A106" t="s">
        <v>172</v>
      </c>
      <c r="B106" t="s">
        <v>334</v>
      </c>
      <c r="C106" t="s">
        <v>328</v>
      </c>
      <c r="D106">
        <v>2</v>
      </c>
      <c r="E106" s="1">
        <v>55000</v>
      </c>
      <c r="F106" s="1">
        <f>Table3[[#This Row],[UnitPrice]]*Table3[[#This Row],[Quantity]]</f>
        <v>110000</v>
      </c>
    </row>
    <row r="107" spans="1:6" x14ac:dyDescent="0.55000000000000004">
      <c r="A107" t="s">
        <v>173</v>
      </c>
      <c r="B107" t="s">
        <v>332</v>
      </c>
      <c r="C107" t="s">
        <v>326</v>
      </c>
      <c r="D107">
        <v>3</v>
      </c>
      <c r="E107" s="1">
        <v>500</v>
      </c>
      <c r="F107" s="1">
        <f>Table3[[#This Row],[UnitPrice]]*Table3[[#This Row],[Quantity]]</f>
        <v>1500</v>
      </c>
    </row>
    <row r="108" spans="1:6" x14ac:dyDescent="0.55000000000000004">
      <c r="A108" t="s">
        <v>174</v>
      </c>
      <c r="B108" t="s">
        <v>330</v>
      </c>
      <c r="C108" t="s">
        <v>331</v>
      </c>
      <c r="D108">
        <v>5</v>
      </c>
      <c r="E108" s="1">
        <v>7000</v>
      </c>
      <c r="F108" s="1">
        <f>Table3[[#This Row],[UnitPrice]]*Table3[[#This Row],[Quantity]]</f>
        <v>35000</v>
      </c>
    </row>
    <row r="109" spans="1:6" x14ac:dyDescent="0.55000000000000004">
      <c r="A109" t="s">
        <v>174</v>
      </c>
      <c r="B109" t="s">
        <v>334</v>
      </c>
      <c r="C109" t="s">
        <v>328</v>
      </c>
      <c r="D109">
        <v>5</v>
      </c>
      <c r="E109" s="1">
        <v>55000</v>
      </c>
      <c r="F109" s="1">
        <f>Table3[[#This Row],[UnitPrice]]*Table3[[#This Row],[Quantity]]</f>
        <v>275000</v>
      </c>
    </row>
    <row r="110" spans="1:6" x14ac:dyDescent="0.55000000000000004">
      <c r="A110" t="s">
        <v>175</v>
      </c>
      <c r="B110" t="s">
        <v>325</v>
      </c>
      <c r="C110" t="s">
        <v>326</v>
      </c>
      <c r="D110">
        <v>5</v>
      </c>
      <c r="E110" s="1">
        <v>2500</v>
      </c>
      <c r="F110" s="1">
        <f>Table3[[#This Row],[UnitPrice]]*Table3[[#This Row],[Quantity]]</f>
        <v>12500</v>
      </c>
    </row>
    <row r="111" spans="1:6" x14ac:dyDescent="0.55000000000000004">
      <c r="A111" t="s">
        <v>175</v>
      </c>
      <c r="B111" t="s">
        <v>332</v>
      </c>
      <c r="C111" t="s">
        <v>326</v>
      </c>
      <c r="D111">
        <v>2</v>
      </c>
      <c r="E111" s="1">
        <v>500</v>
      </c>
      <c r="F111" s="1">
        <f>Table3[[#This Row],[UnitPrice]]*Table3[[#This Row],[Quantity]]</f>
        <v>1000</v>
      </c>
    </row>
    <row r="112" spans="1:6" x14ac:dyDescent="0.55000000000000004">
      <c r="A112" t="s">
        <v>176</v>
      </c>
      <c r="B112" t="s">
        <v>332</v>
      </c>
      <c r="C112" t="s">
        <v>326</v>
      </c>
      <c r="D112">
        <v>1</v>
      </c>
      <c r="E112" s="1">
        <v>500</v>
      </c>
      <c r="F112" s="1">
        <f>Table3[[#This Row],[UnitPrice]]*Table3[[#This Row],[Quantity]]</f>
        <v>500</v>
      </c>
    </row>
    <row r="113" spans="1:6" x14ac:dyDescent="0.55000000000000004">
      <c r="A113" t="s">
        <v>176</v>
      </c>
      <c r="B113" t="s">
        <v>334</v>
      </c>
      <c r="C113" t="s">
        <v>328</v>
      </c>
      <c r="D113">
        <v>4</v>
      </c>
      <c r="E113" s="1">
        <v>55000</v>
      </c>
      <c r="F113" s="1">
        <f>Table3[[#This Row],[UnitPrice]]*Table3[[#This Row],[Quantity]]</f>
        <v>220000</v>
      </c>
    </row>
    <row r="114" spans="1:6" x14ac:dyDescent="0.55000000000000004">
      <c r="A114" t="s">
        <v>176</v>
      </c>
      <c r="B114" t="s">
        <v>334</v>
      </c>
      <c r="C114" t="s">
        <v>328</v>
      </c>
      <c r="D114">
        <v>5</v>
      </c>
      <c r="E114" s="1">
        <v>55000</v>
      </c>
      <c r="F114" s="1">
        <f>Table3[[#This Row],[UnitPrice]]*Table3[[#This Row],[Quantity]]</f>
        <v>275000</v>
      </c>
    </row>
    <row r="115" spans="1:6" x14ac:dyDescent="0.55000000000000004">
      <c r="A115" t="s">
        <v>177</v>
      </c>
      <c r="B115" t="s">
        <v>330</v>
      </c>
      <c r="C115" t="s">
        <v>331</v>
      </c>
      <c r="D115">
        <v>2</v>
      </c>
      <c r="E115" s="1">
        <v>7000</v>
      </c>
      <c r="F115" s="1">
        <f>Table3[[#This Row],[UnitPrice]]*Table3[[#This Row],[Quantity]]</f>
        <v>14000</v>
      </c>
    </row>
    <row r="116" spans="1:6" x14ac:dyDescent="0.55000000000000004">
      <c r="A116" t="s">
        <v>178</v>
      </c>
      <c r="B116" t="s">
        <v>329</v>
      </c>
      <c r="C116" t="s">
        <v>326</v>
      </c>
      <c r="D116">
        <v>5</v>
      </c>
      <c r="E116" s="1">
        <v>1500</v>
      </c>
      <c r="F116" s="1">
        <f>Table3[[#This Row],[UnitPrice]]*Table3[[#This Row],[Quantity]]</f>
        <v>7500</v>
      </c>
    </row>
    <row r="117" spans="1:6" x14ac:dyDescent="0.55000000000000004">
      <c r="A117" t="s">
        <v>178</v>
      </c>
      <c r="B117" t="s">
        <v>332</v>
      </c>
      <c r="C117" t="s">
        <v>326</v>
      </c>
      <c r="D117">
        <v>4</v>
      </c>
      <c r="E117" s="1">
        <v>500</v>
      </c>
      <c r="F117" s="1">
        <f>Table3[[#This Row],[UnitPrice]]*Table3[[#This Row],[Quantity]]</f>
        <v>2000</v>
      </c>
    </row>
    <row r="118" spans="1:6" x14ac:dyDescent="0.55000000000000004">
      <c r="A118" t="s">
        <v>178</v>
      </c>
      <c r="B118" t="s">
        <v>327</v>
      </c>
      <c r="C118" t="s">
        <v>328</v>
      </c>
      <c r="D118">
        <v>1</v>
      </c>
      <c r="E118" s="1">
        <v>12000</v>
      </c>
      <c r="F118" s="1">
        <f>Table3[[#This Row],[UnitPrice]]*Table3[[#This Row],[Quantity]]</f>
        <v>12000</v>
      </c>
    </row>
    <row r="119" spans="1:6" x14ac:dyDescent="0.55000000000000004">
      <c r="A119" t="s">
        <v>179</v>
      </c>
      <c r="B119" t="s">
        <v>327</v>
      </c>
      <c r="C119" t="s">
        <v>328</v>
      </c>
      <c r="D119">
        <v>4</v>
      </c>
      <c r="E119" s="1">
        <v>12000</v>
      </c>
      <c r="F119" s="1">
        <f>Table3[[#This Row],[UnitPrice]]*Table3[[#This Row],[Quantity]]</f>
        <v>48000</v>
      </c>
    </row>
    <row r="120" spans="1:6" x14ac:dyDescent="0.55000000000000004">
      <c r="A120" t="s">
        <v>179</v>
      </c>
      <c r="B120" t="s">
        <v>325</v>
      </c>
      <c r="C120" t="s">
        <v>326</v>
      </c>
      <c r="D120">
        <v>5</v>
      </c>
      <c r="E120" s="1">
        <v>2500</v>
      </c>
      <c r="F120" s="1">
        <f>Table3[[#This Row],[UnitPrice]]*Table3[[#This Row],[Quantity]]</f>
        <v>12500</v>
      </c>
    </row>
    <row r="121" spans="1:6" x14ac:dyDescent="0.55000000000000004">
      <c r="A121" t="s">
        <v>179</v>
      </c>
      <c r="B121" t="s">
        <v>330</v>
      </c>
      <c r="C121" t="s">
        <v>331</v>
      </c>
      <c r="D121">
        <v>1</v>
      </c>
      <c r="E121" s="1">
        <v>7000</v>
      </c>
      <c r="F121" s="1">
        <f>Table3[[#This Row],[UnitPrice]]*Table3[[#This Row],[Quantity]]</f>
        <v>7000</v>
      </c>
    </row>
    <row r="122" spans="1:6" x14ac:dyDescent="0.55000000000000004">
      <c r="A122" t="s">
        <v>180</v>
      </c>
      <c r="B122" t="s">
        <v>333</v>
      </c>
      <c r="C122" t="s">
        <v>331</v>
      </c>
      <c r="D122">
        <v>2</v>
      </c>
      <c r="E122" s="1">
        <v>15000</v>
      </c>
      <c r="F122" s="1">
        <f>Table3[[#This Row],[UnitPrice]]*Table3[[#This Row],[Quantity]]</f>
        <v>30000</v>
      </c>
    </row>
    <row r="123" spans="1:6" x14ac:dyDescent="0.55000000000000004">
      <c r="A123" t="s">
        <v>180</v>
      </c>
      <c r="B123" t="s">
        <v>332</v>
      </c>
      <c r="C123" t="s">
        <v>326</v>
      </c>
      <c r="D123">
        <v>4</v>
      </c>
      <c r="E123" s="1">
        <v>500</v>
      </c>
      <c r="F123" s="1">
        <f>Table3[[#This Row],[UnitPrice]]*Table3[[#This Row],[Quantity]]</f>
        <v>2000</v>
      </c>
    </row>
    <row r="124" spans="1:6" x14ac:dyDescent="0.55000000000000004">
      <c r="A124" t="s">
        <v>180</v>
      </c>
      <c r="B124" t="s">
        <v>332</v>
      </c>
      <c r="C124" t="s">
        <v>326</v>
      </c>
      <c r="D124">
        <v>2</v>
      </c>
      <c r="E124" s="1">
        <v>500</v>
      </c>
      <c r="F124" s="1">
        <f>Table3[[#This Row],[UnitPrice]]*Table3[[#This Row],[Quantity]]</f>
        <v>1000</v>
      </c>
    </row>
    <row r="125" spans="1:6" x14ac:dyDescent="0.55000000000000004">
      <c r="A125" t="s">
        <v>181</v>
      </c>
      <c r="B125" t="s">
        <v>327</v>
      </c>
      <c r="C125" t="s">
        <v>328</v>
      </c>
      <c r="D125">
        <v>2</v>
      </c>
      <c r="E125" s="1">
        <v>12000</v>
      </c>
      <c r="F125" s="1">
        <f>Table3[[#This Row],[UnitPrice]]*Table3[[#This Row],[Quantity]]</f>
        <v>24000</v>
      </c>
    </row>
    <row r="126" spans="1:6" x14ac:dyDescent="0.55000000000000004">
      <c r="A126" t="s">
        <v>182</v>
      </c>
      <c r="B126" t="s">
        <v>325</v>
      </c>
      <c r="C126" t="s">
        <v>326</v>
      </c>
      <c r="D126">
        <v>2</v>
      </c>
      <c r="E126" s="1">
        <v>2500</v>
      </c>
      <c r="F126" s="1">
        <f>Table3[[#This Row],[UnitPrice]]*Table3[[#This Row],[Quantity]]</f>
        <v>5000</v>
      </c>
    </row>
    <row r="127" spans="1:6" x14ac:dyDescent="0.55000000000000004">
      <c r="A127" t="s">
        <v>182</v>
      </c>
      <c r="B127" t="s">
        <v>325</v>
      </c>
      <c r="C127" t="s">
        <v>326</v>
      </c>
      <c r="D127">
        <v>5</v>
      </c>
      <c r="E127" s="1">
        <v>2500</v>
      </c>
      <c r="F127" s="1">
        <f>Table3[[#This Row],[UnitPrice]]*Table3[[#This Row],[Quantity]]</f>
        <v>12500</v>
      </c>
    </row>
    <row r="128" spans="1:6" x14ac:dyDescent="0.55000000000000004">
      <c r="A128" t="s">
        <v>182</v>
      </c>
      <c r="B128" t="s">
        <v>329</v>
      </c>
      <c r="C128" t="s">
        <v>326</v>
      </c>
      <c r="D128">
        <v>5</v>
      </c>
      <c r="E128" s="1">
        <v>1500</v>
      </c>
      <c r="F128" s="1">
        <f>Table3[[#This Row],[UnitPrice]]*Table3[[#This Row],[Quantity]]</f>
        <v>7500</v>
      </c>
    </row>
    <row r="129" spans="1:6" x14ac:dyDescent="0.55000000000000004">
      <c r="A129" t="s">
        <v>183</v>
      </c>
      <c r="B129" t="s">
        <v>329</v>
      </c>
      <c r="C129" t="s">
        <v>326</v>
      </c>
      <c r="D129">
        <v>2</v>
      </c>
      <c r="E129" s="1">
        <v>1500</v>
      </c>
      <c r="F129" s="1">
        <f>Table3[[#This Row],[UnitPrice]]*Table3[[#This Row],[Quantity]]</f>
        <v>3000</v>
      </c>
    </row>
    <row r="130" spans="1:6" x14ac:dyDescent="0.55000000000000004">
      <c r="A130" t="s">
        <v>183</v>
      </c>
      <c r="B130" t="s">
        <v>330</v>
      </c>
      <c r="C130" t="s">
        <v>331</v>
      </c>
      <c r="D130">
        <v>5</v>
      </c>
      <c r="E130" s="1">
        <v>7000</v>
      </c>
      <c r="F130" s="1">
        <f>Table3[[#This Row],[UnitPrice]]*Table3[[#This Row],[Quantity]]</f>
        <v>35000</v>
      </c>
    </row>
    <row r="131" spans="1:6" x14ac:dyDescent="0.55000000000000004">
      <c r="A131" t="s">
        <v>183</v>
      </c>
      <c r="B131" t="s">
        <v>334</v>
      </c>
      <c r="C131" t="s">
        <v>328</v>
      </c>
      <c r="D131">
        <v>4</v>
      </c>
      <c r="E131" s="1">
        <v>55000</v>
      </c>
      <c r="F131" s="1">
        <f>Table3[[#This Row],[UnitPrice]]*Table3[[#This Row],[Quantity]]</f>
        <v>220000</v>
      </c>
    </row>
    <row r="132" spans="1:6" x14ac:dyDescent="0.55000000000000004">
      <c r="A132" t="s">
        <v>184</v>
      </c>
      <c r="B132" t="s">
        <v>325</v>
      </c>
      <c r="C132" t="s">
        <v>326</v>
      </c>
      <c r="D132">
        <v>5</v>
      </c>
      <c r="E132" s="1">
        <v>2500</v>
      </c>
      <c r="F132" s="1">
        <f>Table3[[#This Row],[UnitPrice]]*Table3[[#This Row],[Quantity]]</f>
        <v>12500</v>
      </c>
    </row>
    <row r="133" spans="1:6" x14ac:dyDescent="0.55000000000000004">
      <c r="A133" t="s">
        <v>184</v>
      </c>
      <c r="B133" t="s">
        <v>333</v>
      </c>
      <c r="C133" t="s">
        <v>331</v>
      </c>
      <c r="D133">
        <v>3</v>
      </c>
      <c r="E133" s="1">
        <v>15000</v>
      </c>
      <c r="F133" s="1">
        <f>Table3[[#This Row],[UnitPrice]]*Table3[[#This Row],[Quantity]]</f>
        <v>45000</v>
      </c>
    </row>
    <row r="134" spans="1:6" x14ac:dyDescent="0.55000000000000004">
      <c r="A134" t="s">
        <v>184</v>
      </c>
      <c r="B134" t="s">
        <v>325</v>
      </c>
      <c r="C134" t="s">
        <v>326</v>
      </c>
      <c r="D134">
        <v>3</v>
      </c>
      <c r="E134" s="1">
        <v>2500</v>
      </c>
      <c r="F134" s="1">
        <f>Table3[[#This Row],[UnitPrice]]*Table3[[#This Row],[Quantity]]</f>
        <v>7500</v>
      </c>
    </row>
    <row r="135" spans="1:6" x14ac:dyDescent="0.55000000000000004">
      <c r="A135" t="s">
        <v>185</v>
      </c>
      <c r="B135" t="s">
        <v>330</v>
      </c>
      <c r="C135" t="s">
        <v>331</v>
      </c>
      <c r="D135">
        <v>2</v>
      </c>
      <c r="E135" s="1">
        <v>7000</v>
      </c>
      <c r="F135" s="1">
        <f>Table3[[#This Row],[UnitPrice]]*Table3[[#This Row],[Quantity]]</f>
        <v>14000</v>
      </c>
    </row>
    <row r="136" spans="1:6" x14ac:dyDescent="0.55000000000000004">
      <c r="A136" t="s">
        <v>185</v>
      </c>
      <c r="B136" t="s">
        <v>329</v>
      </c>
      <c r="C136" t="s">
        <v>326</v>
      </c>
      <c r="D136">
        <v>3</v>
      </c>
      <c r="E136" s="1">
        <v>1500</v>
      </c>
      <c r="F136" s="1">
        <f>Table3[[#This Row],[UnitPrice]]*Table3[[#This Row],[Quantity]]</f>
        <v>4500</v>
      </c>
    </row>
    <row r="137" spans="1:6" x14ac:dyDescent="0.55000000000000004">
      <c r="A137" t="s">
        <v>186</v>
      </c>
      <c r="B137" t="s">
        <v>334</v>
      </c>
      <c r="C137" t="s">
        <v>328</v>
      </c>
      <c r="D137">
        <v>2</v>
      </c>
      <c r="E137" s="1">
        <v>55000</v>
      </c>
      <c r="F137" s="1">
        <f>Table3[[#This Row],[UnitPrice]]*Table3[[#This Row],[Quantity]]</f>
        <v>110000</v>
      </c>
    </row>
    <row r="138" spans="1:6" x14ac:dyDescent="0.55000000000000004">
      <c r="A138" t="s">
        <v>187</v>
      </c>
      <c r="B138" t="s">
        <v>330</v>
      </c>
      <c r="C138" t="s">
        <v>331</v>
      </c>
      <c r="D138">
        <v>2</v>
      </c>
      <c r="E138" s="1">
        <v>7000</v>
      </c>
      <c r="F138" s="1">
        <f>Table3[[#This Row],[UnitPrice]]*Table3[[#This Row],[Quantity]]</f>
        <v>14000</v>
      </c>
    </row>
    <row r="139" spans="1:6" x14ac:dyDescent="0.55000000000000004">
      <c r="A139" t="s">
        <v>187</v>
      </c>
      <c r="B139" t="s">
        <v>330</v>
      </c>
      <c r="C139" t="s">
        <v>331</v>
      </c>
      <c r="D139">
        <v>4</v>
      </c>
      <c r="E139" s="1">
        <v>7000</v>
      </c>
      <c r="F139" s="1">
        <f>Table3[[#This Row],[UnitPrice]]*Table3[[#This Row],[Quantity]]</f>
        <v>28000</v>
      </c>
    </row>
    <row r="140" spans="1:6" x14ac:dyDescent="0.55000000000000004">
      <c r="A140" t="s">
        <v>187</v>
      </c>
      <c r="B140" t="s">
        <v>333</v>
      </c>
      <c r="C140" t="s">
        <v>331</v>
      </c>
      <c r="D140">
        <v>3</v>
      </c>
      <c r="E140" s="1">
        <v>15000</v>
      </c>
      <c r="F140" s="1">
        <f>Table3[[#This Row],[UnitPrice]]*Table3[[#This Row],[Quantity]]</f>
        <v>45000</v>
      </c>
    </row>
    <row r="141" spans="1:6" x14ac:dyDescent="0.55000000000000004">
      <c r="A141" t="s">
        <v>188</v>
      </c>
      <c r="B141" t="s">
        <v>334</v>
      </c>
      <c r="C141" t="s">
        <v>328</v>
      </c>
      <c r="D141">
        <v>5</v>
      </c>
      <c r="E141" s="1">
        <v>55000</v>
      </c>
      <c r="F141" s="1">
        <f>Table3[[#This Row],[UnitPrice]]*Table3[[#This Row],[Quantity]]</f>
        <v>275000</v>
      </c>
    </row>
    <row r="142" spans="1:6" x14ac:dyDescent="0.55000000000000004">
      <c r="A142" t="s">
        <v>188</v>
      </c>
      <c r="B142" t="s">
        <v>329</v>
      </c>
      <c r="C142" t="s">
        <v>326</v>
      </c>
      <c r="D142">
        <v>2</v>
      </c>
      <c r="E142" s="1">
        <v>1500</v>
      </c>
      <c r="F142" s="1">
        <f>Table3[[#This Row],[UnitPrice]]*Table3[[#This Row],[Quantity]]</f>
        <v>3000</v>
      </c>
    </row>
    <row r="143" spans="1:6" x14ac:dyDescent="0.55000000000000004">
      <c r="A143" t="s">
        <v>189</v>
      </c>
      <c r="B143" t="s">
        <v>332</v>
      </c>
      <c r="C143" t="s">
        <v>326</v>
      </c>
      <c r="D143">
        <v>2</v>
      </c>
      <c r="E143" s="1">
        <v>500</v>
      </c>
      <c r="F143" s="1">
        <f>Table3[[#This Row],[UnitPrice]]*Table3[[#This Row],[Quantity]]</f>
        <v>1000</v>
      </c>
    </row>
    <row r="144" spans="1:6" x14ac:dyDescent="0.55000000000000004">
      <c r="A144" t="s">
        <v>189</v>
      </c>
      <c r="B144" t="s">
        <v>333</v>
      </c>
      <c r="C144" t="s">
        <v>331</v>
      </c>
      <c r="D144">
        <v>1</v>
      </c>
      <c r="E144" s="1">
        <v>15000</v>
      </c>
      <c r="F144" s="1">
        <f>Table3[[#This Row],[UnitPrice]]*Table3[[#This Row],[Quantity]]</f>
        <v>15000</v>
      </c>
    </row>
    <row r="145" spans="1:6" x14ac:dyDescent="0.55000000000000004">
      <c r="A145" t="s">
        <v>190</v>
      </c>
      <c r="B145" t="s">
        <v>325</v>
      </c>
      <c r="C145" t="s">
        <v>326</v>
      </c>
      <c r="D145">
        <v>5</v>
      </c>
      <c r="E145" s="1">
        <v>2500</v>
      </c>
      <c r="F145" s="1">
        <f>Table3[[#This Row],[UnitPrice]]*Table3[[#This Row],[Quantity]]</f>
        <v>12500</v>
      </c>
    </row>
    <row r="146" spans="1:6" x14ac:dyDescent="0.55000000000000004">
      <c r="A146" t="s">
        <v>190</v>
      </c>
      <c r="B146" t="s">
        <v>329</v>
      </c>
      <c r="C146" t="s">
        <v>326</v>
      </c>
      <c r="D146">
        <v>3</v>
      </c>
      <c r="E146" s="1">
        <v>1500</v>
      </c>
      <c r="F146" s="1">
        <f>Table3[[#This Row],[UnitPrice]]*Table3[[#This Row],[Quantity]]</f>
        <v>4500</v>
      </c>
    </row>
    <row r="147" spans="1:6" x14ac:dyDescent="0.55000000000000004">
      <c r="A147" t="s">
        <v>190</v>
      </c>
      <c r="B147" t="s">
        <v>330</v>
      </c>
      <c r="C147" t="s">
        <v>331</v>
      </c>
      <c r="D147">
        <v>2</v>
      </c>
      <c r="E147" s="1">
        <v>7000</v>
      </c>
      <c r="F147" s="1">
        <f>Table3[[#This Row],[UnitPrice]]*Table3[[#This Row],[Quantity]]</f>
        <v>14000</v>
      </c>
    </row>
    <row r="148" spans="1:6" x14ac:dyDescent="0.55000000000000004">
      <c r="A148" t="s">
        <v>191</v>
      </c>
      <c r="B148" t="s">
        <v>330</v>
      </c>
      <c r="C148" t="s">
        <v>331</v>
      </c>
      <c r="D148">
        <v>3</v>
      </c>
      <c r="E148" s="1">
        <v>7000</v>
      </c>
      <c r="F148" s="1">
        <f>Table3[[#This Row],[UnitPrice]]*Table3[[#This Row],[Quantity]]</f>
        <v>21000</v>
      </c>
    </row>
    <row r="149" spans="1:6" x14ac:dyDescent="0.55000000000000004">
      <c r="A149" t="s">
        <v>191</v>
      </c>
      <c r="B149" t="s">
        <v>334</v>
      </c>
      <c r="C149" t="s">
        <v>328</v>
      </c>
      <c r="D149">
        <v>1</v>
      </c>
      <c r="E149" s="1">
        <v>55000</v>
      </c>
      <c r="F149" s="1">
        <f>Table3[[#This Row],[UnitPrice]]*Table3[[#This Row],[Quantity]]</f>
        <v>55000</v>
      </c>
    </row>
    <row r="150" spans="1:6" x14ac:dyDescent="0.55000000000000004">
      <c r="A150" t="s">
        <v>191</v>
      </c>
      <c r="B150" t="s">
        <v>332</v>
      </c>
      <c r="C150" t="s">
        <v>326</v>
      </c>
      <c r="D150">
        <v>1</v>
      </c>
      <c r="E150" s="1">
        <v>500</v>
      </c>
      <c r="F150" s="1">
        <f>Table3[[#This Row],[UnitPrice]]*Table3[[#This Row],[Quantity]]</f>
        <v>500</v>
      </c>
    </row>
    <row r="151" spans="1:6" x14ac:dyDescent="0.55000000000000004">
      <c r="A151" t="s">
        <v>192</v>
      </c>
      <c r="B151" t="s">
        <v>330</v>
      </c>
      <c r="C151" t="s">
        <v>331</v>
      </c>
      <c r="D151">
        <v>2</v>
      </c>
      <c r="E151" s="1">
        <v>7000</v>
      </c>
      <c r="F151" s="1">
        <f>Table3[[#This Row],[UnitPrice]]*Table3[[#This Row],[Quantity]]</f>
        <v>14000</v>
      </c>
    </row>
    <row r="152" spans="1:6" x14ac:dyDescent="0.55000000000000004">
      <c r="A152" t="s">
        <v>192</v>
      </c>
      <c r="B152" t="s">
        <v>329</v>
      </c>
      <c r="C152" t="s">
        <v>326</v>
      </c>
      <c r="D152">
        <v>5</v>
      </c>
      <c r="E152" s="1">
        <v>1500</v>
      </c>
      <c r="F152" s="1">
        <f>Table3[[#This Row],[UnitPrice]]*Table3[[#This Row],[Quantity]]</f>
        <v>7500</v>
      </c>
    </row>
    <row r="153" spans="1:6" x14ac:dyDescent="0.55000000000000004">
      <c r="A153" t="s">
        <v>192</v>
      </c>
      <c r="B153" t="s">
        <v>327</v>
      </c>
      <c r="C153" t="s">
        <v>328</v>
      </c>
      <c r="D153">
        <v>2</v>
      </c>
      <c r="E153" s="1">
        <v>12000</v>
      </c>
      <c r="F153" s="1">
        <f>Table3[[#This Row],[UnitPrice]]*Table3[[#This Row],[Quantity]]</f>
        <v>24000</v>
      </c>
    </row>
    <row r="154" spans="1:6" x14ac:dyDescent="0.55000000000000004">
      <c r="A154" t="s">
        <v>193</v>
      </c>
      <c r="B154" t="s">
        <v>327</v>
      </c>
      <c r="C154" t="s">
        <v>328</v>
      </c>
      <c r="D154">
        <v>1</v>
      </c>
      <c r="E154" s="1">
        <v>12000</v>
      </c>
      <c r="F154" s="1">
        <f>Table3[[#This Row],[UnitPrice]]*Table3[[#This Row],[Quantity]]</f>
        <v>12000</v>
      </c>
    </row>
    <row r="155" spans="1:6" x14ac:dyDescent="0.55000000000000004">
      <c r="A155" t="s">
        <v>193</v>
      </c>
      <c r="B155" t="s">
        <v>330</v>
      </c>
      <c r="C155" t="s">
        <v>331</v>
      </c>
      <c r="D155">
        <v>5</v>
      </c>
      <c r="E155" s="1">
        <v>7000</v>
      </c>
      <c r="F155" s="1">
        <f>Table3[[#This Row],[UnitPrice]]*Table3[[#This Row],[Quantity]]</f>
        <v>35000</v>
      </c>
    </row>
    <row r="156" spans="1:6" x14ac:dyDescent="0.55000000000000004">
      <c r="A156" t="s">
        <v>193</v>
      </c>
      <c r="B156" t="s">
        <v>327</v>
      </c>
      <c r="C156" t="s">
        <v>328</v>
      </c>
      <c r="D156">
        <v>5</v>
      </c>
      <c r="E156" s="1">
        <v>12000</v>
      </c>
      <c r="F156" s="1">
        <f>Table3[[#This Row],[UnitPrice]]*Table3[[#This Row],[Quantity]]</f>
        <v>60000</v>
      </c>
    </row>
    <row r="157" spans="1:6" x14ac:dyDescent="0.55000000000000004">
      <c r="A157" t="s">
        <v>194</v>
      </c>
      <c r="B157" t="s">
        <v>333</v>
      </c>
      <c r="C157" t="s">
        <v>331</v>
      </c>
      <c r="D157">
        <v>4</v>
      </c>
      <c r="E157" s="1">
        <v>15000</v>
      </c>
      <c r="F157" s="1">
        <f>Table3[[#This Row],[UnitPrice]]*Table3[[#This Row],[Quantity]]</f>
        <v>60000</v>
      </c>
    </row>
    <row r="158" spans="1:6" x14ac:dyDescent="0.55000000000000004">
      <c r="A158" t="s">
        <v>194</v>
      </c>
      <c r="B158" t="s">
        <v>332</v>
      </c>
      <c r="C158" t="s">
        <v>326</v>
      </c>
      <c r="D158">
        <v>1</v>
      </c>
      <c r="E158" s="1">
        <v>500</v>
      </c>
      <c r="F158" s="1">
        <f>Table3[[#This Row],[UnitPrice]]*Table3[[#This Row],[Quantity]]</f>
        <v>500</v>
      </c>
    </row>
    <row r="159" spans="1:6" x14ac:dyDescent="0.55000000000000004">
      <c r="A159" t="s">
        <v>194</v>
      </c>
      <c r="B159" t="s">
        <v>327</v>
      </c>
      <c r="C159" t="s">
        <v>328</v>
      </c>
      <c r="D159">
        <v>5</v>
      </c>
      <c r="E159" s="1">
        <v>12000</v>
      </c>
      <c r="F159" s="1">
        <f>Table3[[#This Row],[UnitPrice]]*Table3[[#This Row],[Quantity]]</f>
        <v>60000</v>
      </c>
    </row>
    <row r="160" spans="1:6" x14ac:dyDescent="0.55000000000000004">
      <c r="A160" t="s">
        <v>195</v>
      </c>
      <c r="B160" t="s">
        <v>329</v>
      </c>
      <c r="C160" t="s">
        <v>326</v>
      </c>
      <c r="D160">
        <v>1</v>
      </c>
      <c r="E160" s="1">
        <v>1500</v>
      </c>
      <c r="F160" s="1">
        <f>Table3[[#This Row],[UnitPrice]]*Table3[[#This Row],[Quantity]]</f>
        <v>1500</v>
      </c>
    </row>
    <row r="161" spans="1:6" x14ac:dyDescent="0.55000000000000004">
      <c r="A161" t="s">
        <v>196</v>
      </c>
      <c r="B161" t="s">
        <v>327</v>
      </c>
      <c r="C161" t="s">
        <v>328</v>
      </c>
      <c r="D161">
        <v>4</v>
      </c>
      <c r="E161" s="1">
        <v>12000</v>
      </c>
      <c r="F161" s="1">
        <f>Table3[[#This Row],[UnitPrice]]*Table3[[#This Row],[Quantity]]</f>
        <v>48000</v>
      </c>
    </row>
    <row r="162" spans="1:6" x14ac:dyDescent="0.55000000000000004">
      <c r="A162" t="s">
        <v>197</v>
      </c>
      <c r="B162" t="s">
        <v>329</v>
      </c>
      <c r="C162" t="s">
        <v>326</v>
      </c>
      <c r="D162">
        <v>5</v>
      </c>
      <c r="E162" s="1">
        <v>1500</v>
      </c>
      <c r="F162" s="1">
        <f>Table3[[#This Row],[UnitPrice]]*Table3[[#This Row],[Quantity]]</f>
        <v>7500</v>
      </c>
    </row>
    <row r="163" spans="1:6" x14ac:dyDescent="0.55000000000000004">
      <c r="A163" t="s">
        <v>197</v>
      </c>
      <c r="B163" t="s">
        <v>333</v>
      </c>
      <c r="C163" t="s">
        <v>331</v>
      </c>
      <c r="D163">
        <v>5</v>
      </c>
      <c r="E163" s="1">
        <v>15000</v>
      </c>
      <c r="F163" s="1">
        <f>Table3[[#This Row],[UnitPrice]]*Table3[[#This Row],[Quantity]]</f>
        <v>75000</v>
      </c>
    </row>
    <row r="164" spans="1:6" x14ac:dyDescent="0.55000000000000004">
      <c r="A164" t="s">
        <v>197</v>
      </c>
      <c r="B164" t="s">
        <v>333</v>
      </c>
      <c r="C164" t="s">
        <v>331</v>
      </c>
      <c r="D164">
        <v>2</v>
      </c>
      <c r="E164" s="1">
        <v>15000</v>
      </c>
      <c r="F164" s="1">
        <f>Table3[[#This Row],[UnitPrice]]*Table3[[#This Row],[Quantity]]</f>
        <v>30000</v>
      </c>
    </row>
    <row r="165" spans="1:6" x14ac:dyDescent="0.55000000000000004">
      <c r="A165" t="s">
        <v>198</v>
      </c>
      <c r="B165" t="s">
        <v>327</v>
      </c>
      <c r="C165" t="s">
        <v>328</v>
      </c>
      <c r="D165">
        <v>5</v>
      </c>
      <c r="E165" s="1">
        <v>12000</v>
      </c>
      <c r="F165" s="1">
        <f>Table3[[#This Row],[UnitPrice]]*Table3[[#This Row],[Quantity]]</f>
        <v>60000</v>
      </c>
    </row>
    <row r="166" spans="1:6" x14ac:dyDescent="0.55000000000000004">
      <c r="A166" t="s">
        <v>198</v>
      </c>
      <c r="B166" t="s">
        <v>325</v>
      </c>
      <c r="C166" t="s">
        <v>326</v>
      </c>
      <c r="D166">
        <v>4</v>
      </c>
      <c r="E166" s="1">
        <v>2500</v>
      </c>
      <c r="F166" s="1">
        <f>Table3[[#This Row],[UnitPrice]]*Table3[[#This Row],[Quantity]]</f>
        <v>10000</v>
      </c>
    </row>
    <row r="167" spans="1:6" x14ac:dyDescent="0.55000000000000004">
      <c r="A167" t="s">
        <v>199</v>
      </c>
      <c r="B167" t="s">
        <v>334</v>
      </c>
      <c r="C167" t="s">
        <v>328</v>
      </c>
      <c r="D167">
        <v>2</v>
      </c>
      <c r="E167" s="1">
        <v>55000</v>
      </c>
      <c r="F167" s="1">
        <f>Table3[[#This Row],[UnitPrice]]*Table3[[#This Row],[Quantity]]</f>
        <v>110000</v>
      </c>
    </row>
    <row r="168" spans="1:6" x14ac:dyDescent="0.55000000000000004">
      <c r="A168" t="s">
        <v>199</v>
      </c>
      <c r="B168" t="s">
        <v>333</v>
      </c>
      <c r="C168" t="s">
        <v>331</v>
      </c>
      <c r="D168">
        <v>5</v>
      </c>
      <c r="E168" s="1">
        <v>15000</v>
      </c>
      <c r="F168" s="1">
        <f>Table3[[#This Row],[UnitPrice]]*Table3[[#This Row],[Quantity]]</f>
        <v>75000</v>
      </c>
    </row>
    <row r="169" spans="1:6" x14ac:dyDescent="0.55000000000000004">
      <c r="A169" t="s">
        <v>199</v>
      </c>
      <c r="B169" t="s">
        <v>325</v>
      </c>
      <c r="C169" t="s">
        <v>326</v>
      </c>
      <c r="D169">
        <v>1</v>
      </c>
      <c r="E169" s="1">
        <v>2500</v>
      </c>
      <c r="F169" s="1">
        <f>Table3[[#This Row],[UnitPrice]]*Table3[[#This Row],[Quantity]]</f>
        <v>2500</v>
      </c>
    </row>
    <row r="170" spans="1:6" x14ac:dyDescent="0.55000000000000004">
      <c r="A170" t="s">
        <v>200</v>
      </c>
      <c r="B170" t="s">
        <v>330</v>
      </c>
      <c r="C170" t="s">
        <v>331</v>
      </c>
      <c r="D170">
        <v>3</v>
      </c>
      <c r="E170" s="1">
        <v>7000</v>
      </c>
      <c r="F170" s="1">
        <f>Table3[[#This Row],[UnitPrice]]*Table3[[#This Row],[Quantity]]</f>
        <v>21000</v>
      </c>
    </row>
    <row r="171" spans="1:6" x14ac:dyDescent="0.55000000000000004">
      <c r="A171" t="s">
        <v>201</v>
      </c>
      <c r="B171" t="s">
        <v>330</v>
      </c>
      <c r="C171" t="s">
        <v>331</v>
      </c>
      <c r="D171">
        <v>5</v>
      </c>
      <c r="E171" s="1">
        <v>7000</v>
      </c>
      <c r="F171" s="1">
        <f>Table3[[#This Row],[UnitPrice]]*Table3[[#This Row],[Quantity]]</f>
        <v>35000</v>
      </c>
    </row>
    <row r="172" spans="1:6" x14ac:dyDescent="0.55000000000000004">
      <c r="A172" t="s">
        <v>201</v>
      </c>
      <c r="B172" t="s">
        <v>334</v>
      </c>
      <c r="C172" t="s">
        <v>328</v>
      </c>
      <c r="D172">
        <v>5</v>
      </c>
      <c r="E172" s="1">
        <v>55000</v>
      </c>
      <c r="F172" s="1">
        <f>Table3[[#This Row],[UnitPrice]]*Table3[[#This Row],[Quantity]]</f>
        <v>275000</v>
      </c>
    </row>
    <row r="173" spans="1:6" x14ac:dyDescent="0.55000000000000004">
      <c r="A173" t="s">
        <v>202</v>
      </c>
      <c r="B173" t="s">
        <v>333</v>
      </c>
      <c r="C173" t="s">
        <v>331</v>
      </c>
      <c r="D173">
        <v>4</v>
      </c>
      <c r="E173" s="1">
        <v>15000</v>
      </c>
      <c r="F173" s="1">
        <f>Table3[[#This Row],[UnitPrice]]*Table3[[#This Row],[Quantity]]</f>
        <v>60000</v>
      </c>
    </row>
    <row r="174" spans="1:6" x14ac:dyDescent="0.55000000000000004">
      <c r="A174" t="s">
        <v>202</v>
      </c>
      <c r="B174" t="s">
        <v>332</v>
      </c>
      <c r="C174" t="s">
        <v>326</v>
      </c>
      <c r="D174">
        <v>3</v>
      </c>
      <c r="E174" s="1">
        <v>500</v>
      </c>
      <c r="F174" s="1">
        <f>Table3[[#This Row],[UnitPrice]]*Table3[[#This Row],[Quantity]]</f>
        <v>1500</v>
      </c>
    </row>
    <row r="175" spans="1:6" x14ac:dyDescent="0.55000000000000004">
      <c r="A175" t="s">
        <v>203</v>
      </c>
      <c r="B175" t="s">
        <v>333</v>
      </c>
      <c r="C175" t="s">
        <v>331</v>
      </c>
      <c r="D175">
        <v>5</v>
      </c>
      <c r="E175" s="1">
        <v>15000</v>
      </c>
      <c r="F175" s="1">
        <f>Table3[[#This Row],[UnitPrice]]*Table3[[#This Row],[Quantity]]</f>
        <v>75000</v>
      </c>
    </row>
    <row r="176" spans="1:6" x14ac:dyDescent="0.55000000000000004">
      <c r="A176" t="s">
        <v>204</v>
      </c>
      <c r="B176" t="s">
        <v>325</v>
      </c>
      <c r="C176" t="s">
        <v>326</v>
      </c>
      <c r="D176">
        <v>5</v>
      </c>
      <c r="E176" s="1">
        <v>2500</v>
      </c>
      <c r="F176" s="1">
        <f>Table3[[#This Row],[UnitPrice]]*Table3[[#This Row],[Quantity]]</f>
        <v>12500</v>
      </c>
    </row>
    <row r="177" spans="1:6" x14ac:dyDescent="0.55000000000000004">
      <c r="A177" t="s">
        <v>204</v>
      </c>
      <c r="B177" t="s">
        <v>332</v>
      </c>
      <c r="C177" t="s">
        <v>326</v>
      </c>
      <c r="D177">
        <v>3</v>
      </c>
      <c r="E177" s="1">
        <v>500</v>
      </c>
      <c r="F177" s="1">
        <f>Table3[[#This Row],[UnitPrice]]*Table3[[#This Row],[Quantity]]</f>
        <v>1500</v>
      </c>
    </row>
    <row r="178" spans="1:6" x14ac:dyDescent="0.55000000000000004">
      <c r="A178" t="s">
        <v>204</v>
      </c>
      <c r="B178" t="s">
        <v>333</v>
      </c>
      <c r="C178" t="s">
        <v>331</v>
      </c>
      <c r="D178">
        <v>4</v>
      </c>
      <c r="E178" s="1">
        <v>15000</v>
      </c>
      <c r="F178" s="1">
        <f>Table3[[#This Row],[UnitPrice]]*Table3[[#This Row],[Quantity]]</f>
        <v>60000</v>
      </c>
    </row>
    <row r="179" spans="1:6" x14ac:dyDescent="0.55000000000000004">
      <c r="A179" t="s">
        <v>205</v>
      </c>
      <c r="B179" t="s">
        <v>329</v>
      </c>
      <c r="C179" t="s">
        <v>326</v>
      </c>
      <c r="D179">
        <v>3</v>
      </c>
      <c r="E179" s="1">
        <v>1500</v>
      </c>
      <c r="F179" s="1">
        <f>Table3[[#This Row],[UnitPrice]]*Table3[[#This Row],[Quantity]]</f>
        <v>4500</v>
      </c>
    </row>
    <row r="180" spans="1:6" x14ac:dyDescent="0.55000000000000004">
      <c r="A180" t="s">
        <v>205</v>
      </c>
      <c r="B180" t="s">
        <v>329</v>
      </c>
      <c r="C180" t="s">
        <v>326</v>
      </c>
      <c r="D180">
        <v>5</v>
      </c>
      <c r="E180" s="1">
        <v>1500</v>
      </c>
      <c r="F180" s="1">
        <f>Table3[[#This Row],[UnitPrice]]*Table3[[#This Row],[Quantity]]</f>
        <v>7500</v>
      </c>
    </row>
    <row r="181" spans="1:6" x14ac:dyDescent="0.55000000000000004">
      <c r="A181" t="s">
        <v>206</v>
      </c>
      <c r="B181" t="s">
        <v>325</v>
      </c>
      <c r="C181" t="s">
        <v>326</v>
      </c>
      <c r="D181">
        <v>3</v>
      </c>
      <c r="E181" s="1">
        <v>2500</v>
      </c>
      <c r="F181" s="1">
        <f>Table3[[#This Row],[UnitPrice]]*Table3[[#This Row],[Quantity]]</f>
        <v>7500</v>
      </c>
    </row>
    <row r="182" spans="1:6" x14ac:dyDescent="0.55000000000000004">
      <c r="A182" t="s">
        <v>206</v>
      </c>
      <c r="B182" t="s">
        <v>330</v>
      </c>
      <c r="C182" t="s">
        <v>331</v>
      </c>
      <c r="D182">
        <v>3</v>
      </c>
      <c r="E182" s="1">
        <v>7000</v>
      </c>
      <c r="F182" s="1">
        <f>Table3[[#This Row],[UnitPrice]]*Table3[[#This Row],[Quantity]]</f>
        <v>21000</v>
      </c>
    </row>
    <row r="183" spans="1:6" x14ac:dyDescent="0.55000000000000004">
      <c r="A183" t="s">
        <v>206</v>
      </c>
      <c r="B183" t="s">
        <v>334</v>
      </c>
      <c r="C183" t="s">
        <v>328</v>
      </c>
      <c r="D183">
        <v>1</v>
      </c>
      <c r="E183" s="1">
        <v>55000</v>
      </c>
      <c r="F183" s="1">
        <f>Table3[[#This Row],[UnitPrice]]*Table3[[#This Row],[Quantity]]</f>
        <v>55000</v>
      </c>
    </row>
    <row r="184" spans="1:6" x14ac:dyDescent="0.55000000000000004">
      <c r="A184" t="s">
        <v>207</v>
      </c>
      <c r="B184" t="s">
        <v>327</v>
      </c>
      <c r="C184" t="s">
        <v>328</v>
      </c>
      <c r="D184">
        <v>3</v>
      </c>
      <c r="E184" s="1">
        <v>12000</v>
      </c>
      <c r="F184" s="1">
        <f>Table3[[#This Row],[UnitPrice]]*Table3[[#This Row],[Quantity]]</f>
        <v>36000</v>
      </c>
    </row>
    <row r="185" spans="1:6" x14ac:dyDescent="0.55000000000000004">
      <c r="A185" t="s">
        <v>207</v>
      </c>
      <c r="B185" t="s">
        <v>332</v>
      </c>
      <c r="C185" t="s">
        <v>326</v>
      </c>
      <c r="D185">
        <v>1</v>
      </c>
      <c r="E185" s="1">
        <v>500</v>
      </c>
      <c r="F185" s="1">
        <f>Table3[[#This Row],[UnitPrice]]*Table3[[#This Row],[Quantity]]</f>
        <v>500</v>
      </c>
    </row>
    <row r="186" spans="1:6" x14ac:dyDescent="0.55000000000000004">
      <c r="A186" t="s">
        <v>207</v>
      </c>
      <c r="B186" t="s">
        <v>329</v>
      </c>
      <c r="C186" t="s">
        <v>326</v>
      </c>
      <c r="D186">
        <v>3</v>
      </c>
      <c r="E186" s="1">
        <v>1500</v>
      </c>
      <c r="F186" s="1">
        <f>Table3[[#This Row],[UnitPrice]]*Table3[[#This Row],[Quantity]]</f>
        <v>4500</v>
      </c>
    </row>
    <row r="187" spans="1:6" x14ac:dyDescent="0.55000000000000004">
      <c r="A187" t="s">
        <v>208</v>
      </c>
      <c r="B187" t="s">
        <v>330</v>
      </c>
      <c r="C187" t="s">
        <v>331</v>
      </c>
      <c r="D187">
        <v>2</v>
      </c>
      <c r="E187" s="1">
        <v>7000</v>
      </c>
      <c r="F187" s="1">
        <f>Table3[[#This Row],[UnitPrice]]*Table3[[#This Row],[Quantity]]</f>
        <v>14000</v>
      </c>
    </row>
    <row r="188" spans="1:6" x14ac:dyDescent="0.55000000000000004">
      <c r="A188" t="s">
        <v>208</v>
      </c>
      <c r="B188" t="s">
        <v>333</v>
      </c>
      <c r="C188" t="s">
        <v>331</v>
      </c>
      <c r="D188">
        <v>1</v>
      </c>
      <c r="E188" s="1">
        <v>15000</v>
      </c>
      <c r="F188" s="1">
        <f>Table3[[#This Row],[UnitPrice]]*Table3[[#This Row],[Quantity]]</f>
        <v>15000</v>
      </c>
    </row>
    <row r="189" spans="1:6" x14ac:dyDescent="0.55000000000000004">
      <c r="A189" t="s">
        <v>208</v>
      </c>
      <c r="B189" t="s">
        <v>334</v>
      </c>
      <c r="C189" t="s">
        <v>328</v>
      </c>
      <c r="D189">
        <v>5</v>
      </c>
      <c r="E189" s="1">
        <v>55000</v>
      </c>
      <c r="F189" s="1">
        <f>Table3[[#This Row],[UnitPrice]]*Table3[[#This Row],[Quantity]]</f>
        <v>275000</v>
      </c>
    </row>
    <row r="190" spans="1:6" x14ac:dyDescent="0.55000000000000004">
      <c r="A190" t="s">
        <v>209</v>
      </c>
      <c r="B190" t="s">
        <v>329</v>
      </c>
      <c r="C190" t="s">
        <v>326</v>
      </c>
      <c r="D190">
        <v>3</v>
      </c>
      <c r="E190" s="1">
        <v>1500</v>
      </c>
      <c r="F190" s="1">
        <f>Table3[[#This Row],[UnitPrice]]*Table3[[#This Row],[Quantity]]</f>
        <v>4500</v>
      </c>
    </row>
    <row r="191" spans="1:6" x14ac:dyDescent="0.55000000000000004">
      <c r="A191" t="s">
        <v>210</v>
      </c>
      <c r="B191" t="s">
        <v>332</v>
      </c>
      <c r="C191" t="s">
        <v>326</v>
      </c>
      <c r="D191">
        <v>1</v>
      </c>
      <c r="E191" s="1">
        <v>500</v>
      </c>
      <c r="F191" s="1">
        <f>Table3[[#This Row],[UnitPrice]]*Table3[[#This Row],[Quantity]]</f>
        <v>500</v>
      </c>
    </row>
    <row r="192" spans="1:6" x14ac:dyDescent="0.55000000000000004">
      <c r="A192" t="s">
        <v>210</v>
      </c>
      <c r="B192" t="s">
        <v>325</v>
      </c>
      <c r="C192" t="s">
        <v>326</v>
      </c>
      <c r="D192">
        <v>1</v>
      </c>
      <c r="E192" s="1">
        <v>2500</v>
      </c>
      <c r="F192" s="1">
        <f>Table3[[#This Row],[UnitPrice]]*Table3[[#This Row],[Quantity]]</f>
        <v>2500</v>
      </c>
    </row>
    <row r="193" spans="1:6" x14ac:dyDescent="0.55000000000000004">
      <c r="A193" t="s">
        <v>210</v>
      </c>
      <c r="B193" t="s">
        <v>332</v>
      </c>
      <c r="C193" t="s">
        <v>326</v>
      </c>
      <c r="D193">
        <v>1</v>
      </c>
      <c r="E193" s="1">
        <v>500</v>
      </c>
      <c r="F193" s="1">
        <f>Table3[[#This Row],[UnitPrice]]*Table3[[#This Row],[Quantity]]</f>
        <v>500</v>
      </c>
    </row>
    <row r="194" spans="1:6" x14ac:dyDescent="0.55000000000000004">
      <c r="A194" t="s">
        <v>211</v>
      </c>
      <c r="B194" t="s">
        <v>332</v>
      </c>
      <c r="C194" t="s">
        <v>326</v>
      </c>
      <c r="D194">
        <v>5</v>
      </c>
      <c r="E194" s="1">
        <v>500</v>
      </c>
      <c r="F194" s="1">
        <f>Table3[[#This Row],[UnitPrice]]*Table3[[#This Row],[Quantity]]</f>
        <v>2500</v>
      </c>
    </row>
    <row r="195" spans="1:6" x14ac:dyDescent="0.55000000000000004">
      <c r="A195" t="s">
        <v>211</v>
      </c>
      <c r="B195" t="s">
        <v>332</v>
      </c>
      <c r="C195" t="s">
        <v>326</v>
      </c>
      <c r="D195">
        <v>5</v>
      </c>
      <c r="E195" s="1">
        <v>500</v>
      </c>
      <c r="F195" s="1">
        <f>Table3[[#This Row],[UnitPrice]]*Table3[[#This Row],[Quantity]]</f>
        <v>2500</v>
      </c>
    </row>
    <row r="196" spans="1:6" x14ac:dyDescent="0.55000000000000004">
      <c r="A196" t="s">
        <v>212</v>
      </c>
      <c r="B196" t="s">
        <v>334</v>
      </c>
      <c r="C196" t="s">
        <v>328</v>
      </c>
      <c r="D196">
        <v>4</v>
      </c>
      <c r="E196" s="1">
        <v>55000</v>
      </c>
      <c r="F196" s="1">
        <f>Table3[[#This Row],[UnitPrice]]*Table3[[#This Row],[Quantity]]</f>
        <v>220000</v>
      </c>
    </row>
    <row r="197" spans="1:6" x14ac:dyDescent="0.55000000000000004">
      <c r="A197" t="s">
        <v>212</v>
      </c>
      <c r="B197" t="s">
        <v>329</v>
      </c>
      <c r="C197" t="s">
        <v>326</v>
      </c>
      <c r="D197">
        <v>3</v>
      </c>
      <c r="E197" s="1">
        <v>1500</v>
      </c>
      <c r="F197" s="1">
        <f>Table3[[#This Row],[UnitPrice]]*Table3[[#This Row],[Quantity]]</f>
        <v>4500</v>
      </c>
    </row>
    <row r="198" spans="1:6" x14ac:dyDescent="0.55000000000000004">
      <c r="A198" t="s">
        <v>212</v>
      </c>
      <c r="B198" t="s">
        <v>327</v>
      </c>
      <c r="C198" t="s">
        <v>328</v>
      </c>
      <c r="D198">
        <v>1</v>
      </c>
      <c r="E198" s="1">
        <v>12000</v>
      </c>
      <c r="F198" s="1">
        <f>Table3[[#This Row],[UnitPrice]]*Table3[[#This Row],[Quantity]]</f>
        <v>12000</v>
      </c>
    </row>
    <row r="199" spans="1:6" x14ac:dyDescent="0.55000000000000004">
      <c r="A199" t="s">
        <v>213</v>
      </c>
      <c r="B199" t="s">
        <v>332</v>
      </c>
      <c r="C199" t="s">
        <v>326</v>
      </c>
      <c r="D199">
        <v>4</v>
      </c>
      <c r="E199" s="1">
        <v>500</v>
      </c>
      <c r="F199" s="1">
        <f>Table3[[#This Row],[UnitPrice]]*Table3[[#This Row],[Quantity]]</f>
        <v>2000</v>
      </c>
    </row>
    <row r="200" spans="1:6" x14ac:dyDescent="0.55000000000000004">
      <c r="A200" t="s">
        <v>213</v>
      </c>
      <c r="B200" t="s">
        <v>329</v>
      </c>
      <c r="C200" t="s">
        <v>326</v>
      </c>
      <c r="D200">
        <v>2</v>
      </c>
      <c r="E200" s="1">
        <v>1500</v>
      </c>
      <c r="F200" s="1">
        <f>Table3[[#This Row],[UnitPrice]]*Table3[[#This Row],[Quantity]]</f>
        <v>3000</v>
      </c>
    </row>
    <row r="201" spans="1:6" x14ac:dyDescent="0.55000000000000004">
      <c r="A201" t="s">
        <v>214</v>
      </c>
      <c r="B201" t="s">
        <v>327</v>
      </c>
      <c r="C201" t="s">
        <v>328</v>
      </c>
      <c r="D201">
        <v>1</v>
      </c>
      <c r="E201" s="1">
        <v>12000</v>
      </c>
      <c r="F201" s="1">
        <f>Table3[[#This Row],[UnitPrice]]*Table3[[#This Row],[Quantity]]</f>
        <v>12000</v>
      </c>
    </row>
    <row r="202" spans="1:6" x14ac:dyDescent="0.55000000000000004">
      <c r="A202" t="s">
        <v>214</v>
      </c>
      <c r="B202" t="s">
        <v>330</v>
      </c>
      <c r="C202" t="s">
        <v>331</v>
      </c>
      <c r="D202">
        <v>3</v>
      </c>
      <c r="E202" s="1">
        <v>7000</v>
      </c>
      <c r="F202" s="1">
        <f>Table3[[#This Row],[UnitPrice]]*Table3[[#This Row],[Quantity]]</f>
        <v>21000</v>
      </c>
    </row>
    <row r="203" spans="1:6" x14ac:dyDescent="0.55000000000000004">
      <c r="A203" t="s">
        <v>214</v>
      </c>
      <c r="B203" t="s">
        <v>327</v>
      </c>
      <c r="C203" t="s">
        <v>328</v>
      </c>
      <c r="D203">
        <v>2</v>
      </c>
      <c r="E203" s="1">
        <v>12000</v>
      </c>
      <c r="F203" s="1">
        <f>Table3[[#This Row],[UnitPrice]]*Table3[[#This Row],[Quantity]]</f>
        <v>24000</v>
      </c>
    </row>
    <row r="204" spans="1:6" x14ac:dyDescent="0.55000000000000004">
      <c r="A204" t="s">
        <v>215</v>
      </c>
      <c r="B204" t="s">
        <v>333</v>
      </c>
      <c r="C204" t="s">
        <v>331</v>
      </c>
      <c r="D204">
        <v>1</v>
      </c>
      <c r="E204" s="1">
        <v>15000</v>
      </c>
      <c r="F204" s="1">
        <f>Table3[[#This Row],[UnitPrice]]*Table3[[#This Row],[Quantity]]</f>
        <v>15000</v>
      </c>
    </row>
    <row r="205" spans="1:6" x14ac:dyDescent="0.55000000000000004">
      <c r="A205" t="s">
        <v>215</v>
      </c>
      <c r="B205" t="s">
        <v>327</v>
      </c>
      <c r="C205" t="s">
        <v>328</v>
      </c>
      <c r="D205">
        <v>3</v>
      </c>
      <c r="E205" s="1">
        <v>12000</v>
      </c>
      <c r="F205" s="1">
        <f>Table3[[#This Row],[UnitPrice]]*Table3[[#This Row],[Quantity]]</f>
        <v>36000</v>
      </c>
    </row>
    <row r="206" spans="1:6" x14ac:dyDescent="0.55000000000000004">
      <c r="A206" t="s">
        <v>216</v>
      </c>
      <c r="B206" t="s">
        <v>327</v>
      </c>
      <c r="C206" t="s">
        <v>328</v>
      </c>
      <c r="D206">
        <v>4</v>
      </c>
      <c r="E206" s="1">
        <v>12000</v>
      </c>
      <c r="F206" s="1">
        <f>Table3[[#This Row],[UnitPrice]]*Table3[[#This Row],[Quantity]]</f>
        <v>48000</v>
      </c>
    </row>
    <row r="207" spans="1:6" x14ac:dyDescent="0.55000000000000004">
      <c r="A207" t="s">
        <v>216</v>
      </c>
      <c r="B207" t="s">
        <v>329</v>
      </c>
      <c r="C207" t="s">
        <v>326</v>
      </c>
      <c r="D207">
        <v>1</v>
      </c>
      <c r="E207" s="1">
        <v>1500</v>
      </c>
      <c r="F207" s="1">
        <f>Table3[[#This Row],[UnitPrice]]*Table3[[#This Row],[Quantity]]</f>
        <v>1500</v>
      </c>
    </row>
    <row r="208" spans="1:6" x14ac:dyDescent="0.55000000000000004">
      <c r="A208" t="s">
        <v>217</v>
      </c>
      <c r="B208" t="s">
        <v>333</v>
      </c>
      <c r="C208" t="s">
        <v>331</v>
      </c>
      <c r="D208">
        <v>4</v>
      </c>
      <c r="E208" s="1">
        <v>15000</v>
      </c>
      <c r="F208" s="1">
        <f>Table3[[#This Row],[UnitPrice]]*Table3[[#This Row],[Quantity]]</f>
        <v>60000</v>
      </c>
    </row>
    <row r="209" spans="1:6" x14ac:dyDescent="0.55000000000000004">
      <c r="A209" t="s">
        <v>217</v>
      </c>
      <c r="B209" t="s">
        <v>327</v>
      </c>
      <c r="C209" t="s">
        <v>328</v>
      </c>
      <c r="D209">
        <v>1</v>
      </c>
      <c r="E209" s="1">
        <v>12000</v>
      </c>
      <c r="F209" s="1">
        <f>Table3[[#This Row],[UnitPrice]]*Table3[[#This Row],[Quantity]]</f>
        <v>12000</v>
      </c>
    </row>
    <row r="210" spans="1:6" x14ac:dyDescent="0.55000000000000004">
      <c r="A210" t="s">
        <v>217</v>
      </c>
      <c r="B210" t="s">
        <v>329</v>
      </c>
      <c r="C210" t="s">
        <v>326</v>
      </c>
      <c r="D210">
        <v>3</v>
      </c>
      <c r="E210" s="1">
        <v>1500</v>
      </c>
      <c r="F210" s="1">
        <f>Table3[[#This Row],[UnitPrice]]*Table3[[#This Row],[Quantity]]</f>
        <v>4500</v>
      </c>
    </row>
    <row r="211" spans="1:6" x14ac:dyDescent="0.55000000000000004">
      <c r="A211" t="s">
        <v>218</v>
      </c>
      <c r="B211" t="s">
        <v>333</v>
      </c>
      <c r="C211" t="s">
        <v>331</v>
      </c>
      <c r="D211">
        <v>1</v>
      </c>
      <c r="E211" s="1">
        <v>15000</v>
      </c>
      <c r="F211" s="1">
        <f>Table3[[#This Row],[UnitPrice]]*Table3[[#This Row],[Quantity]]</f>
        <v>15000</v>
      </c>
    </row>
    <row r="212" spans="1:6" x14ac:dyDescent="0.55000000000000004">
      <c r="A212" t="s">
        <v>218</v>
      </c>
      <c r="B212" t="s">
        <v>330</v>
      </c>
      <c r="C212" t="s">
        <v>331</v>
      </c>
      <c r="D212">
        <v>2</v>
      </c>
      <c r="E212" s="1">
        <v>7000</v>
      </c>
      <c r="F212" s="1">
        <f>Table3[[#This Row],[UnitPrice]]*Table3[[#This Row],[Quantity]]</f>
        <v>14000</v>
      </c>
    </row>
    <row r="213" spans="1:6" x14ac:dyDescent="0.55000000000000004">
      <c r="A213" t="s">
        <v>218</v>
      </c>
      <c r="B213" t="s">
        <v>327</v>
      </c>
      <c r="C213" t="s">
        <v>328</v>
      </c>
      <c r="D213">
        <v>2</v>
      </c>
      <c r="E213" s="1">
        <v>12000</v>
      </c>
      <c r="F213" s="1">
        <f>Table3[[#This Row],[UnitPrice]]*Table3[[#This Row],[Quantity]]</f>
        <v>24000</v>
      </c>
    </row>
    <row r="214" spans="1:6" x14ac:dyDescent="0.55000000000000004">
      <c r="A214" t="s">
        <v>219</v>
      </c>
      <c r="B214" t="s">
        <v>334</v>
      </c>
      <c r="C214" t="s">
        <v>328</v>
      </c>
      <c r="D214">
        <v>3</v>
      </c>
      <c r="E214" s="1">
        <v>55000</v>
      </c>
      <c r="F214" s="1">
        <f>Table3[[#This Row],[UnitPrice]]*Table3[[#This Row],[Quantity]]</f>
        <v>165000</v>
      </c>
    </row>
    <row r="215" spans="1:6" x14ac:dyDescent="0.55000000000000004">
      <c r="A215" t="s">
        <v>220</v>
      </c>
      <c r="B215" t="s">
        <v>325</v>
      </c>
      <c r="C215" t="s">
        <v>326</v>
      </c>
      <c r="D215">
        <v>1</v>
      </c>
      <c r="E215" s="1">
        <v>2500</v>
      </c>
      <c r="F215" s="1">
        <f>Table3[[#This Row],[UnitPrice]]*Table3[[#This Row],[Quantity]]</f>
        <v>2500</v>
      </c>
    </row>
    <row r="216" spans="1:6" x14ac:dyDescent="0.55000000000000004">
      <c r="A216" t="s">
        <v>220</v>
      </c>
      <c r="B216" t="s">
        <v>325</v>
      </c>
      <c r="C216" t="s">
        <v>326</v>
      </c>
      <c r="D216">
        <v>5</v>
      </c>
      <c r="E216" s="1">
        <v>2500</v>
      </c>
      <c r="F216" s="1">
        <f>Table3[[#This Row],[UnitPrice]]*Table3[[#This Row],[Quantity]]</f>
        <v>12500</v>
      </c>
    </row>
    <row r="217" spans="1:6" x14ac:dyDescent="0.55000000000000004">
      <c r="A217" t="s">
        <v>220</v>
      </c>
      <c r="B217" t="s">
        <v>325</v>
      </c>
      <c r="C217" t="s">
        <v>326</v>
      </c>
      <c r="D217">
        <v>4</v>
      </c>
      <c r="E217" s="1">
        <v>2500</v>
      </c>
      <c r="F217" s="1">
        <f>Table3[[#This Row],[UnitPrice]]*Table3[[#This Row],[Quantity]]</f>
        <v>10000</v>
      </c>
    </row>
    <row r="218" spans="1:6" x14ac:dyDescent="0.55000000000000004">
      <c r="A218" t="s">
        <v>221</v>
      </c>
      <c r="B218" t="s">
        <v>332</v>
      </c>
      <c r="C218" t="s">
        <v>326</v>
      </c>
      <c r="D218">
        <v>3</v>
      </c>
      <c r="E218" s="1">
        <v>500</v>
      </c>
      <c r="F218" s="1">
        <f>Table3[[#This Row],[UnitPrice]]*Table3[[#This Row],[Quantity]]</f>
        <v>1500</v>
      </c>
    </row>
    <row r="219" spans="1:6" x14ac:dyDescent="0.55000000000000004">
      <c r="A219" t="s">
        <v>222</v>
      </c>
      <c r="B219" t="s">
        <v>327</v>
      </c>
      <c r="C219" t="s">
        <v>328</v>
      </c>
      <c r="D219">
        <v>4</v>
      </c>
      <c r="E219" s="1">
        <v>12000</v>
      </c>
      <c r="F219" s="1">
        <f>Table3[[#This Row],[UnitPrice]]*Table3[[#This Row],[Quantity]]</f>
        <v>48000</v>
      </c>
    </row>
    <row r="220" spans="1:6" x14ac:dyDescent="0.55000000000000004">
      <c r="A220" t="s">
        <v>222</v>
      </c>
      <c r="B220" t="s">
        <v>329</v>
      </c>
      <c r="C220" t="s">
        <v>326</v>
      </c>
      <c r="D220">
        <v>3</v>
      </c>
      <c r="E220" s="1">
        <v>1500</v>
      </c>
      <c r="F220" s="1">
        <f>Table3[[#This Row],[UnitPrice]]*Table3[[#This Row],[Quantity]]</f>
        <v>4500</v>
      </c>
    </row>
    <row r="221" spans="1:6" x14ac:dyDescent="0.55000000000000004">
      <c r="A221" t="s">
        <v>223</v>
      </c>
      <c r="B221" t="s">
        <v>327</v>
      </c>
      <c r="C221" t="s">
        <v>328</v>
      </c>
      <c r="D221">
        <v>4</v>
      </c>
      <c r="E221" s="1">
        <v>12000</v>
      </c>
      <c r="F221" s="1">
        <f>Table3[[#This Row],[UnitPrice]]*Table3[[#This Row],[Quantity]]</f>
        <v>48000</v>
      </c>
    </row>
    <row r="222" spans="1:6" x14ac:dyDescent="0.55000000000000004">
      <c r="A222" t="s">
        <v>223</v>
      </c>
      <c r="B222" t="s">
        <v>332</v>
      </c>
      <c r="C222" t="s">
        <v>326</v>
      </c>
      <c r="D222">
        <v>1</v>
      </c>
      <c r="E222" s="1">
        <v>500</v>
      </c>
      <c r="F222" s="1">
        <f>Table3[[#This Row],[UnitPrice]]*Table3[[#This Row],[Quantity]]</f>
        <v>500</v>
      </c>
    </row>
    <row r="223" spans="1:6" x14ac:dyDescent="0.55000000000000004">
      <c r="A223" t="s">
        <v>223</v>
      </c>
      <c r="B223" t="s">
        <v>330</v>
      </c>
      <c r="C223" t="s">
        <v>331</v>
      </c>
      <c r="D223">
        <v>4</v>
      </c>
      <c r="E223" s="1">
        <v>7000</v>
      </c>
      <c r="F223" s="1">
        <f>Table3[[#This Row],[UnitPrice]]*Table3[[#This Row],[Quantity]]</f>
        <v>28000</v>
      </c>
    </row>
    <row r="224" spans="1:6" x14ac:dyDescent="0.55000000000000004">
      <c r="A224" t="s">
        <v>224</v>
      </c>
      <c r="B224" t="s">
        <v>332</v>
      </c>
      <c r="C224" t="s">
        <v>326</v>
      </c>
      <c r="D224">
        <v>3</v>
      </c>
      <c r="E224" s="1">
        <v>500</v>
      </c>
      <c r="F224" s="1">
        <f>Table3[[#This Row],[UnitPrice]]*Table3[[#This Row],[Quantity]]</f>
        <v>1500</v>
      </c>
    </row>
    <row r="225" spans="1:6" x14ac:dyDescent="0.55000000000000004">
      <c r="A225" t="s">
        <v>224</v>
      </c>
      <c r="B225" t="s">
        <v>329</v>
      </c>
      <c r="C225" t="s">
        <v>326</v>
      </c>
      <c r="D225">
        <v>5</v>
      </c>
      <c r="E225" s="1">
        <v>1500</v>
      </c>
      <c r="F225" s="1">
        <f>Table3[[#This Row],[UnitPrice]]*Table3[[#This Row],[Quantity]]</f>
        <v>7500</v>
      </c>
    </row>
    <row r="226" spans="1:6" x14ac:dyDescent="0.55000000000000004">
      <c r="A226" t="s">
        <v>225</v>
      </c>
      <c r="B226" t="s">
        <v>334</v>
      </c>
      <c r="C226" t="s">
        <v>328</v>
      </c>
      <c r="D226">
        <v>4</v>
      </c>
      <c r="E226" s="1">
        <v>55000</v>
      </c>
      <c r="F226" s="1">
        <f>Table3[[#This Row],[UnitPrice]]*Table3[[#This Row],[Quantity]]</f>
        <v>220000</v>
      </c>
    </row>
    <row r="227" spans="1:6" x14ac:dyDescent="0.55000000000000004">
      <c r="A227" t="s">
        <v>225</v>
      </c>
      <c r="B227" t="s">
        <v>327</v>
      </c>
      <c r="C227" t="s">
        <v>328</v>
      </c>
      <c r="D227">
        <v>5</v>
      </c>
      <c r="E227" s="1">
        <v>12000</v>
      </c>
      <c r="F227" s="1">
        <f>Table3[[#This Row],[UnitPrice]]*Table3[[#This Row],[Quantity]]</f>
        <v>60000</v>
      </c>
    </row>
    <row r="228" spans="1:6" x14ac:dyDescent="0.55000000000000004">
      <c r="A228" t="s">
        <v>225</v>
      </c>
      <c r="B228" t="s">
        <v>332</v>
      </c>
      <c r="C228" t="s">
        <v>326</v>
      </c>
      <c r="D228">
        <v>3</v>
      </c>
      <c r="E228" s="1">
        <v>500</v>
      </c>
      <c r="F228" s="1">
        <f>Table3[[#This Row],[UnitPrice]]*Table3[[#This Row],[Quantity]]</f>
        <v>1500</v>
      </c>
    </row>
    <row r="229" spans="1:6" x14ac:dyDescent="0.55000000000000004">
      <c r="A229" t="s">
        <v>226</v>
      </c>
      <c r="B229" t="s">
        <v>325</v>
      </c>
      <c r="C229" t="s">
        <v>326</v>
      </c>
      <c r="D229">
        <v>2</v>
      </c>
      <c r="E229" s="1">
        <v>2500</v>
      </c>
      <c r="F229" s="1">
        <f>Table3[[#This Row],[UnitPrice]]*Table3[[#This Row],[Quantity]]</f>
        <v>5000</v>
      </c>
    </row>
    <row r="230" spans="1:6" x14ac:dyDescent="0.55000000000000004">
      <c r="A230" t="s">
        <v>227</v>
      </c>
      <c r="B230" t="s">
        <v>329</v>
      </c>
      <c r="C230" t="s">
        <v>326</v>
      </c>
      <c r="D230">
        <v>4</v>
      </c>
      <c r="E230" s="1">
        <v>1500</v>
      </c>
      <c r="F230" s="1">
        <f>Table3[[#This Row],[UnitPrice]]*Table3[[#This Row],[Quantity]]</f>
        <v>6000</v>
      </c>
    </row>
    <row r="231" spans="1:6" x14ac:dyDescent="0.55000000000000004">
      <c r="A231" t="s">
        <v>227</v>
      </c>
      <c r="B231" t="s">
        <v>329</v>
      </c>
      <c r="C231" t="s">
        <v>326</v>
      </c>
      <c r="D231">
        <v>2</v>
      </c>
      <c r="E231" s="1">
        <v>1500</v>
      </c>
      <c r="F231" s="1">
        <f>Table3[[#This Row],[UnitPrice]]*Table3[[#This Row],[Quantity]]</f>
        <v>3000</v>
      </c>
    </row>
    <row r="232" spans="1:6" x14ac:dyDescent="0.55000000000000004">
      <c r="A232" t="s">
        <v>227</v>
      </c>
      <c r="B232" t="s">
        <v>325</v>
      </c>
      <c r="C232" t="s">
        <v>326</v>
      </c>
      <c r="D232">
        <v>4</v>
      </c>
      <c r="E232" s="1">
        <v>2500</v>
      </c>
      <c r="F232" s="1">
        <f>Table3[[#This Row],[UnitPrice]]*Table3[[#This Row],[Quantity]]</f>
        <v>10000</v>
      </c>
    </row>
    <row r="233" spans="1:6" x14ac:dyDescent="0.55000000000000004">
      <c r="A233" t="s">
        <v>228</v>
      </c>
      <c r="B233" t="s">
        <v>332</v>
      </c>
      <c r="C233" t="s">
        <v>326</v>
      </c>
      <c r="D233">
        <v>2</v>
      </c>
      <c r="E233" s="1">
        <v>500</v>
      </c>
      <c r="F233" s="1">
        <f>Table3[[#This Row],[UnitPrice]]*Table3[[#This Row],[Quantity]]</f>
        <v>1000</v>
      </c>
    </row>
    <row r="234" spans="1:6" x14ac:dyDescent="0.55000000000000004">
      <c r="A234" t="s">
        <v>228</v>
      </c>
      <c r="B234" t="s">
        <v>332</v>
      </c>
      <c r="C234" t="s">
        <v>326</v>
      </c>
      <c r="D234">
        <v>1</v>
      </c>
      <c r="E234" s="1">
        <v>500</v>
      </c>
      <c r="F234" s="1">
        <f>Table3[[#This Row],[UnitPrice]]*Table3[[#This Row],[Quantity]]</f>
        <v>500</v>
      </c>
    </row>
    <row r="235" spans="1:6" x14ac:dyDescent="0.55000000000000004">
      <c r="A235" t="s">
        <v>228</v>
      </c>
      <c r="B235" t="s">
        <v>332</v>
      </c>
      <c r="C235" t="s">
        <v>326</v>
      </c>
      <c r="D235">
        <v>4</v>
      </c>
      <c r="E235" s="1">
        <v>500</v>
      </c>
      <c r="F235" s="1">
        <f>Table3[[#This Row],[UnitPrice]]*Table3[[#This Row],[Quantity]]</f>
        <v>2000</v>
      </c>
    </row>
    <row r="236" spans="1:6" x14ac:dyDescent="0.55000000000000004">
      <c r="A236" t="s">
        <v>229</v>
      </c>
      <c r="B236" t="s">
        <v>333</v>
      </c>
      <c r="C236" t="s">
        <v>331</v>
      </c>
      <c r="D236">
        <v>1</v>
      </c>
      <c r="E236" s="1">
        <v>15000</v>
      </c>
      <c r="F236" s="1">
        <f>Table3[[#This Row],[UnitPrice]]*Table3[[#This Row],[Quantity]]</f>
        <v>15000</v>
      </c>
    </row>
    <row r="237" spans="1:6" x14ac:dyDescent="0.55000000000000004">
      <c r="A237" t="s">
        <v>230</v>
      </c>
      <c r="B237" t="s">
        <v>327</v>
      </c>
      <c r="C237" t="s">
        <v>328</v>
      </c>
      <c r="D237">
        <v>3</v>
      </c>
      <c r="E237" s="1">
        <v>12000</v>
      </c>
      <c r="F237" s="1">
        <f>Table3[[#This Row],[UnitPrice]]*Table3[[#This Row],[Quantity]]</f>
        <v>36000</v>
      </c>
    </row>
    <row r="238" spans="1:6" x14ac:dyDescent="0.55000000000000004">
      <c r="A238" t="s">
        <v>231</v>
      </c>
      <c r="B238" t="s">
        <v>330</v>
      </c>
      <c r="C238" t="s">
        <v>331</v>
      </c>
      <c r="D238">
        <v>2</v>
      </c>
      <c r="E238" s="1">
        <v>7000</v>
      </c>
      <c r="F238" s="1">
        <f>Table3[[#This Row],[UnitPrice]]*Table3[[#This Row],[Quantity]]</f>
        <v>14000</v>
      </c>
    </row>
    <row r="239" spans="1:6" x14ac:dyDescent="0.55000000000000004">
      <c r="A239" t="s">
        <v>231</v>
      </c>
      <c r="B239" t="s">
        <v>327</v>
      </c>
      <c r="C239" t="s">
        <v>328</v>
      </c>
      <c r="D239">
        <v>1</v>
      </c>
      <c r="E239" s="1">
        <v>12000</v>
      </c>
      <c r="F239" s="1">
        <f>Table3[[#This Row],[UnitPrice]]*Table3[[#This Row],[Quantity]]</f>
        <v>12000</v>
      </c>
    </row>
    <row r="240" spans="1:6" x14ac:dyDescent="0.55000000000000004">
      <c r="A240" t="s">
        <v>232</v>
      </c>
      <c r="B240" t="s">
        <v>329</v>
      </c>
      <c r="C240" t="s">
        <v>326</v>
      </c>
      <c r="D240">
        <v>3</v>
      </c>
      <c r="E240" s="1">
        <v>1500</v>
      </c>
      <c r="F240" s="1">
        <f>Table3[[#This Row],[UnitPrice]]*Table3[[#This Row],[Quantity]]</f>
        <v>4500</v>
      </c>
    </row>
    <row r="241" spans="1:6" x14ac:dyDescent="0.55000000000000004">
      <c r="A241" t="s">
        <v>233</v>
      </c>
      <c r="B241" t="s">
        <v>334</v>
      </c>
      <c r="C241" t="s">
        <v>328</v>
      </c>
      <c r="D241">
        <v>4</v>
      </c>
      <c r="E241" s="1">
        <v>55000</v>
      </c>
      <c r="F241" s="1">
        <f>Table3[[#This Row],[UnitPrice]]*Table3[[#This Row],[Quantity]]</f>
        <v>220000</v>
      </c>
    </row>
    <row r="242" spans="1:6" x14ac:dyDescent="0.55000000000000004">
      <c r="A242" t="s">
        <v>233</v>
      </c>
      <c r="B242" t="s">
        <v>333</v>
      </c>
      <c r="C242" t="s">
        <v>331</v>
      </c>
      <c r="D242">
        <v>1</v>
      </c>
      <c r="E242" s="1">
        <v>15000</v>
      </c>
      <c r="F242" s="1">
        <f>Table3[[#This Row],[UnitPrice]]*Table3[[#This Row],[Quantity]]</f>
        <v>15000</v>
      </c>
    </row>
    <row r="243" spans="1:6" x14ac:dyDescent="0.55000000000000004">
      <c r="A243" t="s">
        <v>234</v>
      </c>
      <c r="B243" t="s">
        <v>334</v>
      </c>
      <c r="C243" t="s">
        <v>328</v>
      </c>
      <c r="D243">
        <v>1</v>
      </c>
      <c r="E243" s="1">
        <v>55000</v>
      </c>
      <c r="F243" s="1">
        <f>Table3[[#This Row],[UnitPrice]]*Table3[[#This Row],[Quantity]]</f>
        <v>55000</v>
      </c>
    </row>
    <row r="244" spans="1:6" x14ac:dyDescent="0.55000000000000004">
      <c r="A244" t="s">
        <v>235</v>
      </c>
      <c r="B244" t="s">
        <v>332</v>
      </c>
      <c r="C244" t="s">
        <v>326</v>
      </c>
      <c r="D244">
        <v>1</v>
      </c>
      <c r="E244" s="1">
        <v>500</v>
      </c>
      <c r="F244" s="1">
        <f>Table3[[#This Row],[UnitPrice]]*Table3[[#This Row],[Quantity]]</f>
        <v>500</v>
      </c>
    </row>
    <row r="245" spans="1:6" x14ac:dyDescent="0.55000000000000004">
      <c r="A245" t="s">
        <v>235</v>
      </c>
      <c r="B245" t="s">
        <v>333</v>
      </c>
      <c r="C245" t="s">
        <v>331</v>
      </c>
      <c r="D245">
        <v>4</v>
      </c>
      <c r="E245" s="1">
        <v>15000</v>
      </c>
      <c r="F245" s="1">
        <f>Table3[[#This Row],[UnitPrice]]*Table3[[#This Row],[Quantity]]</f>
        <v>60000</v>
      </c>
    </row>
    <row r="246" spans="1:6" x14ac:dyDescent="0.55000000000000004">
      <c r="A246" t="s">
        <v>236</v>
      </c>
      <c r="B246" t="s">
        <v>332</v>
      </c>
      <c r="C246" t="s">
        <v>326</v>
      </c>
      <c r="D246">
        <v>2</v>
      </c>
      <c r="E246" s="1">
        <v>500</v>
      </c>
      <c r="F246" s="1">
        <f>Table3[[#This Row],[UnitPrice]]*Table3[[#This Row],[Quantity]]</f>
        <v>1000</v>
      </c>
    </row>
    <row r="247" spans="1:6" x14ac:dyDescent="0.55000000000000004">
      <c r="A247" t="s">
        <v>237</v>
      </c>
      <c r="B247" t="s">
        <v>334</v>
      </c>
      <c r="C247" t="s">
        <v>328</v>
      </c>
      <c r="D247">
        <v>1</v>
      </c>
      <c r="E247" s="1">
        <v>55000</v>
      </c>
      <c r="F247" s="1">
        <f>Table3[[#This Row],[UnitPrice]]*Table3[[#This Row],[Quantity]]</f>
        <v>55000</v>
      </c>
    </row>
    <row r="248" spans="1:6" x14ac:dyDescent="0.55000000000000004">
      <c r="A248" t="s">
        <v>237</v>
      </c>
      <c r="B248" t="s">
        <v>334</v>
      </c>
      <c r="C248" t="s">
        <v>328</v>
      </c>
      <c r="D248">
        <v>5</v>
      </c>
      <c r="E248" s="1">
        <v>55000</v>
      </c>
      <c r="F248" s="1">
        <f>Table3[[#This Row],[UnitPrice]]*Table3[[#This Row],[Quantity]]</f>
        <v>275000</v>
      </c>
    </row>
    <row r="249" spans="1:6" x14ac:dyDescent="0.55000000000000004">
      <c r="A249" t="s">
        <v>237</v>
      </c>
      <c r="B249" t="s">
        <v>333</v>
      </c>
      <c r="C249" t="s">
        <v>331</v>
      </c>
      <c r="D249">
        <v>1</v>
      </c>
      <c r="E249" s="1">
        <v>15000</v>
      </c>
      <c r="F249" s="1">
        <f>Table3[[#This Row],[UnitPrice]]*Table3[[#This Row],[Quantity]]</f>
        <v>15000</v>
      </c>
    </row>
    <row r="250" spans="1:6" x14ac:dyDescent="0.55000000000000004">
      <c r="A250" t="s">
        <v>238</v>
      </c>
      <c r="B250" t="s">
        <v>332</v>
      </c>
      <c r="C250" t="s">
        <v>326</v>
      </c>
      <c r="D250">
        <v>1</v>
      </c>
      <c r="E250" s="1">
        <v>500</v>
      </c>
      <c r="F250" s="1">
        <f>Table3[[#This Row],[UnitPrice]]*Table3[[#This Row],[Quantity]]</f>
        <v>500</v>
      </c>
    </row>
    <row r="251" spans="1:6" x14ac:dyDescent="0.55000000000000004">
      <c r="A251" t="s">
        <v>239</v>
      </c>
      <c r="B251" t="s">
        <v>327</v>
      </c>
      <c r="C251" t="s">
        <v>328</v>
      </c>
      <c r="D251">
        <v>2</v>
      </c>
      <c r="E251" s="1">
        <v>12000</v>
      </c>
      <c r="F251" s="1">
        <f>Table3[[#This Row],[UnitPrice]]*Table3[[#This Row],[Quantity]]</f>
        <v>24000</v>
      </c>
    </row>
    <row r="252" spans="1:6" x14ac:dyDescent="0.55000000000000004">
      <c r="A252" t="s">
        <v>239</v>
      </c>
      <c r="B252" t="s">
        <v>332</v>
      </c>
      <c r="C252" t="s">
        <v>326</v>
      </c>
      <c r="D252">
        <v>1</v>
      </c>
      <c r="E252" s="1">
        <v>500</v>
      </c>
      <c r="F252" s="1">
        <f>Table3[[#This Row],[UnitPrice]]*Table3[[#This Row],[Quantity]]</f>
        <v>500</v>
      </c>
    </row>
    <row r="253" spans="1:6" x14ac:dyDescent="0.55000000000000004">
      <c r="A253" t="s">
        <v>239</v>
      </c>
      <c r="B253" t="s">
        <v>332</v>
      </c>
      <c r="C253" t="s">
        <v>326</v>
      </c>
      <c r="D253">
        <v>3</v>
      </c>
      <c r="E253" s="1">
        <v>500</v>
      </c>
      <c r="F253" s="1">
        <f>Table3[[#This Row],[UnitPrice]]*Table3[[#This Row],[Quantity]]</f>
        <v>1500</v>
      </c>
    </row>
    <row r="254" spans="1:6" x14ac:dyDescent="0.55000000000000004">
      <c r="A254" t="s">
        <v>240</v>
      </c>
      <c r="B254" t="s">
        <v>332</v>
      </c>
      <c r="C254" t="s">
        <v>326</v>
      </c>
      <c r="D254">
        <v>2</v>
      </c>
      <c r="E254" s="1">
        <v>500</v>
      </c>
      <c r="F254" s="1">
        <f>Table3[[#This Row],[UnitPrice]]*Table3[[#This Row],[Quantity]]</f>
        <v>1000</v>
      </c>
    </row>
    <row r="255" spans="1:6" x14ac:dyDescent="0.55000000000000004">
      <c r="A255" t="s">
        <v>241</v>
      </c>
      <c r="B255" t="s">
        <v>327</v>
      </c>
      <c r="C255" t="s">
        <v>328</v>
      </c>
      <c r="D255">
        <v>2</v>
      </c>
      <c r="E255" s="1">
        <v>12000</v>
      </c>
      <c r="F255" s="1">
        <f>Table3[[#This Row],[UnitPrice]]*Table3[[#This Row],[Quantity]]</f>
        <v>24000</v>
      </c>
    </row>
    <row r="256" spans="1:6" x14ac:dyDescent="0.55000000000000004">
      <c r="A256" t="s">
        <v>241</v>
      </c>
      <c r="B256" t="s">
        <v>334</v>
      </c>
      <c r="C256" t="s">
        <v>328</v>
      </c>
      <c r="D256">
        <v>4</v>
      </c>
      <c r="E256" s="1">
        <v>55000</v>
      </c>
      <c r="F256" s="1">
        <f>Table3[[#This Row],[UnitPrice]]*Table3[[#This Row],[Quantity]]</f>
        <v>220000</v>
      </c>
    </row>
    <row r="257" spans="1:6" x14ac:dyDescent="0.55000000000000004">
      <c r="A257" t="s">
        <v>241</v>
      </c>
      <c r="B257" t="s">
        <v>330</v>
      </c>
      <c r="C257" t="s">
        <v>331</v>
      </c>
      <c r="D257">
        <v>5</v>
      </c>
      <c r="E257" s="1">
        <v>7000</v>
      </c>
      <c r="F257" s="1">
        <f>Table3[[#This Row],[UnitPrice]]*Table3[[#This Row],[Quantity]]</f>
        <v>35000</v>
      </c>
    </row>
    <row r="258" spans="1:6" x14ac:dyDescent="0.55000000000000004">
      <c r="A258" t="s">
        <v>242</v>
      </c>
      <c r="B258" t="s">
        <v>333</v>
      </c>
      <c r="C258" t="s">
        <v>331</v>
      </c>
      <c r="D258">
        <v>4</v>
      </c>
      <c r="E258" s="1">
        <v>15000</v>
      </c>
      <c r="F258" s="1">
        <f>Table3[[#This Row],[UnitPrice]]*Table3[[#This Row],[Quantity]]</f>
        <v>60000</v>
      </c>
    </row>
    <row r="259" spans="1:6" x14ac:dyDescent="0.55000000000000004">
      <c r="A259" t="s">
        <v>242</v>
      </c>
      <c r="B259" t="s">
        <v>332</v>
      </c>
      <c r="C259" t="s">
        <v>326</v>
      </c>
      <c r="D259">
        <v>1</v>
      </c>
      <c r="E259" s="1">
        <v>500</v>
      </c>
      <c r="F259" s="1">
        <f>Table3[[#This Row],[UnitPrice]]*Table3[[#This Row],[Quantity]]</f>
        <v>500</v>
      </c>
    </row>
    <row r="260" spans="1:6" x14ac:dyDescent="0.55000000000000004">
      <c r="A260" t="s">
        <v>242</v>
      </c>
      <c r="B260" t="s">
        <v>334</v>
      </c>
      <c r="C260" t="s">
        <v>328</v>
      </c>
      <c r="D260">
        <v>3</v>
      </c>
      <c r="E260" s="1">
        <v>55000</v>
      </c>
      <c r="F260" s="1">
        <f>Table3[[#This Row],[UnitPrice]]*Table3[[#This Row],[Quantity]]</f>
        <v>165000</v>
      </c>
    </row>
    <row r="261" spans="1:6" x14ac:dyDescent="0.55000000000000004">
      <c r="A261" t="s">
        <v>243</v>
      </c>
      <c r="B261" t="s">
        <v>334</v>
      </c>
      <c r="C261" t="s">
        <v>328</v>
      </c>
      <c r="D261">
        <v>4</v>
      </c>
      <c r="E261" s="1">
        <v>55000</v>
      </c>
      <c r="F261" s="1">
        <f>Table3[[#This Row],[UnitPrice]]*Table3[[#This Row],[Quantity]]</f>
        <v>220000</v>
      </c>
    </row>
    <row r="262" spans="1:6" x14ac:dyDescent="0.55000000000000004">
      <c r="A262" t="s">
        <v>243</v>
      </c>
      <c r="B262" t="s">
        <v>333</v>
      </c>
      <c r="C262" t="s">
        <v>331</v>
      </c>
      <c r="D262">
        <v>5</v>
      </c>
      <c r="E262" s="1">
        <v>15000</v>
      </c>
      <c r="F262" s="1">
        <f>Table3[[#This Row],[UnitPrice]]*Table3[[#This Row],[Quantity]]</f>
        <v>75000</v>
      </c>
    </row>
    <row r="263" spans="1:6" x14ac:dyDescent="0.55000000000000004">
      <c r="A263" t="s">
        <v>243</v>
      </c>
      <c r="B263" t="s">
        <v>334</v>
      </c>
      <c r="C263" t="s">
        <v>328</v>
      </c>
      <c r="D263">
        <v>5</v>
      </c>
      <c r="E263" s="1">
        <v>55000</v>
      </c>
      <c r="F263" s="1">
        <f>Table3[[#This Row],[UnitPrice]]*Table3[[#This Row],[Quantity]]</f>
        <v>275000</v>
      </c>
    </row>
    <row r="264" spans="1:6" x14ac:dyDescent="0.55000000000000004">
      <c r="A264" t="s">
        <v>244</v>
      </c>
      <c r="B264" t="s">
        <v>330</v>
      </c>
      <c r="C264" t="s">
        <v>331</v>
      </c>
      <c r="D264">
        <v>4</v>
      </c>
      <c r="E264" s="1">
        <v>7000</v>
      </c>
      <c r="F264" s="1">
        <f>Table3[[#This Row],[UnitPrice]]*Table3[[#This Row],[Quantity]]</f>
        <v>28000</v>
      </c>
    </row>
    <row r="265" spans="1:6" x14ac:dyDescent="0.55000000000000004">
      <c r="A265" t="s">
        <v>245</v>
      </c>
      <c r="B265" t="s">
        <v>333</v>
      </c>
      <c r="C265" t="s">
        <v>331</v>
      </c>
      <c r="D265">
        <v>2</v>
      </c>
      <c r="E265" s="1">
        <v>15000</v>
      </c>
      <c r="F265" s="1">
        <f>Table3[[#This Row],[UnitPrice]]*Table3[[#This Row],[Quantity]]</f>
        <v>30000</v>
      </c>
    </row>
    <row r="266" spans="1:6" x14ac:dyDescent="0.55000000000000004">
      <c r="A266" t="s">
        <v>246</v>
      </c>
      <c r="B266" t="s">
        <v>333</v>
      </c>
      <c r="C266" t="s">
        <v>331</v>
      </c>
      <c r="D266">
        <v>3</v>
      </c>
      <c r="E266" s="1">
        <v>15000</v>
      </c>
      <c r="F266" s="1">
        <f>Table3[[#This Row],[UnitPrice]]*Table3[[#This Row],[Quantity]]</f>
        <v>45000</v>
      </c>
    </row>
    <row r="267" spans="1:6" x14ac:dyDescent="0.55000000000000004">
      <c r="A267" t="s">
        <v>247</v>
      </c>
      <c r="B267" t="s">
        <v>325</v>
      </c>
      <c r="C267" t="s">
        <v>326</v>
      </c>
      <c r="D267">
        <v>2</v>
      </c>
      <c r="E267" s="1">
        <v>2500</v>
      </c>
      <c r="F267" s="1">
        <f>Table3[[#This Row],[UnitPrice]]*Table3[[#This Row],[Quantity]]</f>
        <v>5000</v>
      </c>
    </row>
    <row r="268" spans="1:6" x14ac:dyDescent="0.55000000000000004">
      <c r="A268" t="s">
        <v>247</v>
      </c>
      <c r="B268" t="s">
        <v>325</v>
      </c>
      <c r="C268" t="s">
        <v>326</v>
      </c>
      <c r="D268">
        <v>5</v>
      </c>
      <c r="E268" s="1">
        <v>2500</v>
      </c>
      <c r="F268" s="1">
        <f>Table3[[#This Row],[UnitPrice]]*Table3[[#This Row],[Quantity]]</f>
        <v>12500</v>
      </c>
    </row>
    <row r="269" spans="1:6" x14ac:dyDescent="0.55000000000000004">
      <c r="A269" t="s">
        <v>247</v>
      </c>
      <c r="B269" t="s">
        <v>330</v>
      </c>
      <c r="C269" t="s">
        <v>331</v>
      </c>
      <c r="D269">
        <v>5</v>
      </c>
      <c r="E269" s="1">
        <v>7000</v>
      </c>
      <c r="F269" s="1">
        <f>Table3[[#This Row],[UnitPrice]]*Table3[[#This Row],[Quantity]]</f>
        <v>35000</v>
      </c>
    </row>
    <row r="270" spans="1:6" x14ac:dyDescent="0.55000000000000004">
      <c r="A270" t="s">
        <v>248</v>
      </c>
      <c r="B270" t="s">
        <v>332</v>
      </c>
      <c r="C270" t="s">
        <v>326</v>
      </c>
      <c r="D270">
        <v>1</v>
      </c>
      <c r="E270" s="1">
        <v>500</v>
      </c>
      <c r="F270" s="1">
        <f>Table3[[#This Row],[UnitPrice]]*Table3[[#This Row],[Quantity]]</f>
        <v>500</v>
      </c>
    </row>
    <row r="271" spans="1:6" x14ac:dyDescent="0.55000000000000004">
      <c r="A271" t="s">
        <v>249</v>
      </c>
      <c r="B271" t="s">
        <v>330</v>
      </c>
      <c r="C271" t="s">
        <v>331</v>
      </c>
      <c r="D271">
        <v>4</v>
      </c>
      <c r="E271" s="1">
        <v>7000</v>
      </c>
      <c r="F271" s="1">
        <f>Table3[[#This Row],[UnitPrice]]*Table3[[#This Row],[Quantity]]</f>
        <v>28000</v>
      </c>
    </row>
    <row r="272" spans="1:6" x14ac:dyDescent="0.55000000000000004">
      <c r="A272" t="s">
        <v>249</v>
      </c>
      <c r="B272" t="s">
        <v>329</v>
      </c>
      <c r="C272" t="s">
        <v>326</v>
      </c>
      <c r="D272">
        <v>5</v>
      </c>
      <c r="E272" s="1">
        <v>1500</v>
      </c>
      <c r="F272" s="1">
        <f>Table3[[#This Row],[UnitPrice]]*Table3[[#This Row],[Quantity]]</f>
        <v>7500</v>
      </c>
    </row>
    <row r="273" spans="1:6" x14ac:dyDescent="0.55000000000000004">
      <c r="A273" t="s">
        <v>249</v>
      </c>
      <c r="B273" t="s">
        <v>332</v>
      </c>
      <c r="C273" t="s">
        <v>326</v>
      </c>
      <c r="D273">
        <v>3</v>
      </c>
      <c r="E273" s="1">
        <v>500</v>
      </c>
      <c r="F273" s="1">
        <f>Table3[[#This Row],[UnitPrice]]*Table3[[#This Row],[Quantity]]</f>
        <v>1500</v>
      </c>
    </row>
    <row r="274" spans="1:6" x14ac:dyDescent="0.55000000000000004">
      <c r="A274" t="s">
        <v>250</v>
      </c>
      <c r="B274" t="s">
        <v>333</v>
      </c>
      <c r="C274" t="s">
        <v>331</v>
      </c>
      <c r="D274">
        <v>2</v>
      </c>
      <c r="E274" s="1">
        <v>15000</v>
      </c>
      <c r="F274" s="1">
        <f>Table3[[#This Row],[UnitPrice]]*Table3[[#This Row],[Quantity]]</f>
        <v>30000</v>
      </c>
    </row>
    <row r="275" spans="1:6" x14ac:dyDescent="0.55000000000000004">
      <c r="A275" t="s">
        <v>251</v>
      </c>
      <c r="B275" t="s">
        <v>327</v>
      </c>
      <c r="C275" t="s">
        <v>328</v>
      </c>
      <c r="D275">
        <v>2</v>
      </c>
      <c r="E275" s="1">
        <v>12000</v>
      </c>
      <c r="F275" s="1">
        <f>Table3[[#This Row],[UnitPrice]]*Table3[[#This Row],[Quantity]]</f>
        <v>24000</v>
      </c>
    </row>
    <row r="276" spans="1:6" x14ac:dyDescent="0.55000000000000004">
      <c r="A276" t="s">
        <v>251</v>
      </c>
      <c r="B276" t="s">
        <v>330</v>
      </c>
      <c r="C276" t="s">
        <v>331</v>
      </c>
      <c r="D276">
        <v>3</v>
      </c>
      <c r="E276" s="1">
        <v>7000</v>
      </c>
      <c r="F276" s="1">
        <f>Table3[[#This Row],[UnitPrice]]*Table3[[#This Row],[Quantity]]</f>
        <v>21000</v>
      </c>
    </row>
    <row r="277" spans="1:6" x14ac:dyDescent="0.55000000000000004">
      <c r="A277" t="s">
        <v>251</v>
      </c>
      <c r="B277" t="s">
        <v>333</v>
      </c>
      <c r="C277" t="s">
        <v>331</v>
      </c>
      <c r="D277">
        <v>5</v>
      </c>
      <c r="E277" s="1">
        <v>15000</v>
      </c>
      <c r="F277" s="1">
        <f>Table3[[#This Row],[UnitPrice]]*Table3[[#This Row],[Quantity]]</f>
        <v>75000</v>
      </c>
    </row>
    <row r="278" spans="1:6" x14ac:dyDescent="0.55000000000000004">
      <c r="A278" t="s">
        <v>252</v>
      </c>
      <c r="B278" t="s">
        <v>329</v>
      </c>
      <c r="C278" t="s">
        <v>326</v>
      </c>
      <c r="D278">
        <v>4</v>
      </c>
      <c r="E278" s="1">
        <v>1500</v>
      </c>
      <c r="F278" s="1">
        <f>Table3[[#This Row],[UnitPrice]]*Table3[[#This Row],[Quantity]]</f>
        <v>6000</v>
      </c>
    </row>
    <row r="279" spans="1:6" x14ac:dyDescent="0.55000000000000004">
      <c r="A279" t="s">
        <v>252</v>
      </c>
      <c r="B279" t="s">
        <v>325</v>
      </c>
      <c r="C279" t="s">
        <v>326</v>
      </c>
      <c r="D279">
        <v>4</v>
      </c>
      <c r="E279" s="1">
        <v>2500</v>
      </c>
      <c r="F279" s="1">
        <f>Table3[[#This Row],[UnitPrice]]*Table3[[#This Row],[Quantity]]</f>
        <v>10000</v>
      </c>
    </row>
    <row r="280" spans="1:6" x14ac:dyDescent="0.55000000000000004">
      <c r="A280" t="s">
        <v>252</v>
      </c>
      <c r="B280" t="s">
        <v>334</v>
      </c>
      <c r="C280" t="s">
        <v>328</v>
      </c>
      <c r="D280">
        <v>4</v>
      </c>
      <c r="E280" s="1">
        <v>55000</v>
      </c>
      <c r="F280" s="1">
        <f>Table3[[#This Row],[UnitPrice]]*Table3[[#This Row],[Quantity]]</f>
        <v>220000</v>
      </c>
    </row>
    <row r="281" spans="1:6" x14ac:dyDescent="0.55000000000000004">
      <c r="A281" t="s">
        <v>253</v>
      </c>
      <c r="B281" t="s">
        <v>330</v>
      </c>
      <c r="C281" t="s">
        <v>331</v>
      </c>
      <c r="D281">
        <v>5</v>
      </c>
      <c r="E281" s="1">
        <v>7000</v>
      </c>
      <c r="F281" s="1">
        <f>Table3[[#This Row],[UnitPrice]]*Table3[[#This Row],[Quantity]]</f>
        <v>35000</v>
      </c>
    </row>
    <row r="282" spans="1:6" x14ac:dyDescent="0.55000000000000004">
      <c r="A282" t="s">
        <v>253</v>
      </c>
      <c r="B282" t="s">
        <v>333</v>
      </c>
      <c r="C282" t="s">
        <v>331</v>
      </c>
      <c r="D282">
        <v>1</v>
      </c>
      <c r="E282" s="1">
        <v>15000</v>
      </c>
      <c r="F282" s="1">
        <f>Table3[[#This Row],[UnitPrice]]*Table3[[#This Row],[Quantity]]</f>
        <v>15000</v>
      </c>
    </row>
    <row r="283" spans="1:6" x14ac:dyDescent="0.55000000000000004">
      <c r="A283" t="s">
        <v>254</v>
      </c>
      <c r="B283" t="s">
        <v>329</v>
      </c>
      <c r="C283" t="s">
        <v>326</v>
      </c>
      <c r="D283">
        <v>4</v>
      </c>
      <c r="E283" s="1">
        <v>1500</v>
      </c>
      <c r="F283" s="1">
        <f>Table3[[#This Row],[UnitPrice]]*Table3[[#This Row],[Quantity]]</f>
        <v>6000</v>
      </c>
    </row>
    <row r="284" spans="1:6" x14ac:dyDescent="0.55000000000000004">
      <c r="A284" t="s">
        <v>254</v>
      </c>
      <c r="B284" t="s">
        <v>332</v>
      </c>
      <c r="C284" t="s">
        <v>326</v>
      </c>
      <c r="D284">
        <v>2</v>
      </c>
      <c r="E284" s="1">
        <v>500</v>
      </c>
      <c r="F284" s="1">
        <f>Table3[[#This Row],[UnitPrice]]*Table3[[#This Row],[Quantity]]</f>
        <v>1000</v>
      </c>
    </row>
    <row r="285" spans="1:6" x14ac:dyDescent="0.55000000000000004">
      <c r="A285" t="s">
        <v>255</v>
      </c>
      <c r="B285" t="s">
        <v>333</v>
      </c>
      <c r="C285" t="s">
        <v>331</v>
      </c>
      <c r="D285">
        <v>1</v>
      </c>
      <c r="E285" s="1">
        <v>15000</v>
      </c>
      <c r="F285" s="1">
        <f>Table3[[#This Row],[UnitPrice]]*Table3[[#This Row],[Quantity]]</f>
        <v>15000</v>
      </c>
    </row>
    <row r="286" spans="1:6" x14ac:dyDescent="0.55000000000000004">
      <c r="A286" t="s">
        <v>255</v>
      </c>
      <c r="B286" t="s">
        <v>332</v>
      </c>
      <c r="C286" t="s">
        <v>326</v>
      </c>
      <c r="D286">
        <v>3</v>
      </c>
      <c r="E286" s="1">
        <v>500</v>
      </c>
      <c r="F286" s="1">
        <f>Table3[[#This Row],[UnitPrice]]*Table3[[#This Row],[Quantity]]</f>
        <v>1500</v>
      </c>
    </row>
    <row r="287" spans="1:6" x14ac:dyDescent="0.55000000000000004">
      <c r="A287" t="s">
        <v>256</v>
      </c>
      <c r="B287" t="s">
        <v>327</v>
      </c>
      <c r="C287" t="s">
        <v>328</v>
      </c>
      <c r="D287">
        <v>3</v>
      </c>
      <c r="E287" s="1">
        <v>12000</v>
      </c>
      <c r="F287" s="1">
        <f>Table3[[#This Row],[UnitPrice]]*Table3[[#This Row],[Quantity]]</f>
        <v>36000</v>
      </c>
    </row>
    <row r="288" spans="1:6" x14ac:dyDescent="0.55000000000000004">
      <c r="A288" t="s">
        <v>256</v>
      </c>
      <c r="B288" t="s">
        <v>329</v>
      </c>
      <c r="C288" t="s">
        <v>326</v>
      </c>
      <c r="D288">
        <v>4</v>
      </c>
      <c r="E288" s="1">
        <v>1500</v>
      </c>
      <c r="F288" s="1">
        <f>Table3[[#This Row],[UnitPrice]]*Table3[[#This Row],[Quantity]]</f>
        <v>6000</v>
      </c>
    </row>
    <row r="289" spans="1:6" x14ac:dyDescent="0.55000000000000004">
      <c r="A289" t="s">
        <v>256</v>
      </c>
      <c r="B289" t="s">
        <v>332</v>
      </c>
      <c r="C289" t="s">
        <v>326</v>
      </c>
      <c r="D289">
        <v>1</v>
      </c>
      <c r="E289" s="1">
        <v>500</v>
      </c>
      <c r="F289" s="1">
        <f>Table3[[#This Row],[UnitPrice]]*Table3[[#This Row],[Quantity]]</f>
        <v>500</v>
      </c>
    </row>
    <row r="290" spans="1:6" x14ac:dyDescent="0.55000000000000004">
      <c r="A290" t="s">
        <v>257</v>
      </c>
      <c r="B290" t="s">
        <v>327</v>
      </c>
      <c r="C290" t="s">
        <v>328</v>
      </c>
      <c r="D290">
        <v>3</v>
      </c>
      <c r="E290" s="1">
        <v>12000</v>
      </c>
      <c r="F290" s="1">
        <f>Table3[[#This Row],[UnitPrice]]*Table3[[#This Row],[Quantity]]</f>
        <v>36000</v>
      </c>
    </row>
    <row r="291" spans="1:6" x14ac:dyDescent="0.55000000000000004">
      <c r="A291" t="s">
        <v>258</v>
      </c>
      <c r="B291" t="s">
        <v>329</v>
      </c>
      <c r="C291" t="s">
        <v>326</v>
      </c>
      <c r="D291">
        <v>1</v>
      </c>
      <c r="E291" s="1">
        <v>1500</v>
      </c>
      <c r="F291" s="1">
        <f>Table3[[#This Row],[UnitPrice]]*Table3[[#This Row],[Quantity]]</f>
        <v>1500</v>
      </c>
    </row>
    <row r="292" spans="1:6" x14ac:dyDescent="0.55000000000000004">
      <c r="A292" t="s">
        <v>258</v>
      </c>
      <c r="B292" t="s">
        <v>332</v>
      </c>
      <c r="C292" t="s">
        <v>326</v>
      </c>
      <c r="D292">
        <v>3</v>
      </c>
      <c r="E292" s="1">
        <v>500</v>
      </c>
      <c r="F292" s="1">
        <f>Table3[[#This Row],[UnitPrice]]*Table3[[#This Row],[Quantity]]</f>
        <v>1500</v>
      </c>
    </row>
    <row r="293" spans="1:6" x14ac:dyDescent="0.55000000000000004">
      <c r="A293" t="s">
        <v>259</v>
      </c>
      <c r="B293" t="s">
        <v>325</v>
      </c>
      <c r="C293" t="s">
        <v>326</v>
      </c>
      <c r="D293">
        <v>5</v>
      </c>
      <c r="E293" s="1">
        <v>2500</v>
      </c>
      <c r="F293" s="1">
        <f>Table3[[#This Row],[UnitPrice]]*Table3[[#This Row],[Quantity]]</f>
        <v>12500</v>
      </c>
    </row>
    <row r="294" spans="1:6" x14ac:dyDescent="0.55000000000000004">
      <c r="A294" t="s">
        <v>259</v>
      </c>
      <c r="B294" t="s">
        <v>333</v>
      </c>
      <c r="C294" t="s">
        <v>331</v>
      </c>
      <c r="D294">
        <v>2</v>
      </c>
      <c r="E294" s="1">
        <v>15000</v>
      </c>
      <c r="F294" s="1">
        <f>Table3[[#This Row],[UnitPrice]]*Table3[[#This Row],[Quantity]]</f>
        <v>30000</v>
      </c>
    </row>
    <row r="295" spans="1:6" x14ac:dyDescent="0.55000000000000004">
      <c r="A295" t="s">
        <v>260</v>
      </c>
      <c r="B295" t="s">
        <v>327</v>
      </c>
      <c r="C295" t="s">
        <v>328</v>
      </c>
      <c r="D295">
        <v>1</v>
      </c>
      <c r="E295" s="1">
        <v>12000</v>
      </c>
      <c r="F295" s="1">
        <f>Table3[[#This Row],[UnitPrice]]*Table3[[#This Row],[Quantity]]</f>
        <v>12000</v>
      </c>
    </row>
    <row r="296" spans="1:6" x14ac:dyDescent="0.55000000000000004">
      <c r="A296" t="s">
        <v>260</v>
      </c>
      <c r="B296" t="s">
        <v>330</v>
      </c>
      <c r="C296" t="s">
        <v>331</v>
      </c>
      <c r="D296">
        <v>2</v>
      </c>
      <c r="E296" s="1">
        <v>7000</v>
      </c>
      <c r="F296" s="1">
        <f>Table3[[#This Row],[UnitPrice]]*Table3[[#This Row],[Quantity]]</f>
        <v>14000</v>
      </c>
    </row>
    <row r="297" spans="1:6" x14ac:dyDescent="0.55000000000000004">
      <c r="A297" t="s">
        <v>260</v>
      </c>
      <c r="B297" t="s">
        <v>330</v>
      </c>
      <c r="C297" t="s">
        <v>331</v>
      </c>
      <c r="D297">
        <v>4</v>
      </c>
      <c r="E297" s="1">
        <v>7000</v>
      </c>
      <c r="F297" s="1">
        <f>Table3[[#This Row],[UnitPrice]]*Table3[[#This Row],[Quantity]]</f>
        <v>28000</v>
      </c>
    </row>
    <row r="298" spans="1:6" x14ac:dyDescent="0.55000000000000004">
      <c r="A298" t="s">
        <v>261</v>
      </c>
      <c r="B298" t="s">
        <v>327</v>
      </c>
      <c r="C298" t="s">
        <v>328</v>
      </c>
      <c r="D298">
        <v>5</v>
      </c>
      <c r="E298" s="1">
        <v>12000</v>
      </c>
      <c r="F298" s="1">
        <f>Table3[[#This Row],[UnitPrice]]*Table3[[#This Row],[Quantity]]</f>
        <v>60000</v>
      </c>
    </row>
    <row r="299" spans="1:6" x14ac:dyDescent="0.55000000000000004">
      <c r="A299" t="s">
        <v>261</v>
      </c>
      <c r="B299" t="s">
        <v>333</v>
      </c>
      <c r="C299" t="s">
        <v>331</v>
      </c>
      <c r="D299">
        <v>3</v>
      </c>
      <c r="E299" s="1">
        <v>15000</v>
      </c>
      <c r="F299" s="1">
        <f>Table3[[#This Row],[UnitPrice]]*Table3[[#This Row],[Quantity]]</f>
        <v>45000</v>
      </c>
    </row>
    <row r="300" spans="1:6" x14ac:dyDescent="0.55000000000000004">
      <c r="A300" t="s">
        <v>261</v>
      </c>
      <c r="B300" t="s">
        <v>325</v>
      </c>
      <c r="C300" t="s">
        <v>326</v>
      </c>
      <c r="D300">
        <v>4</v>
      </c>
      <c r="E300" s="1">
        <v>2500</v>
      </c>
      <c r="F300" s="1">
        <f>Table3[[#This Row],[UnitPrice]]*Table3[[#This Row],[Quantity]]</f>
        <v>10000</v>
      </c>
    </row>
    <row r="301" spans="1:6" x14ac:dyDescent="0.55000000000000004">
      <c r="A301" t="s">
        <v>262</v>
      </c>
      <c r="B301" t="s">
        <v>332</v>
      </c>
      <c r="C301" t="s">
        <v>326</v>
      </c>
      <c r="D301">
        <v>2</v>
      </c>
      <c r="E301" s="1">
        <v>500</v>
      </c>
      <c r="F301" s="1">
        <f>Table3[[#This Row],[UnitPrice]]*Table3[[#This Row],[Quantity]]</f>
        <v>1000</v>
      </c>
    </row>
    <row r="302" spans="1:6" x14ac:dyDescent="0.55000000000000004">
      <c r="A302" t="s">
        <v>262</v>
      </c>
      <c r="B302" t="s">
        <v>327</v>
      </c>
      <c r="C302" t="s">
        <v>328</v>
      </c>
      <c r="D302">
        <v>1</v>
      </c>
      <c r="E302" s="1">
        <v>12000</v>
      </c>
      <c r="F302" s="1">
        <f>Table3[[#This Row],[UnitPrice]]*Table3[[#This Row],[Quantity]]</f>
        <v>12000</v>
      </c>
    </row>
    <row r="303" spans="1:6" x14ac:dyDescent="0.55000000000000004">
      <c r="A303" t="s">
        <v>263</v>
      </c>
      <c r="B303" t="s">
        <v>329</v>
      </c>
      <c r="C303" t="s">
        <v>326</v>
      </c>
      <c r="D303">
        <v>1</v>
      </c>
      <c r="E303" s="1">
        <v>1500</v>
      </c>
      <c r="F303" s="1">
        <f>Table3[[#This Row],[UnitPrice]]*Table3[[#This Row],[Quantity]]</f>
        <v>1500</v>
      </c>
    </row>
    <row r="304" spans="1:6" x14ac:dyDescent="0.55000000000000004">
      <c r="A304" t="s">
        <v>263</v>
      </c>
      <c r="B304" t="s">
        <v>332</v>
      </c>
      <c r="C304" t="s">
        <v>326</v>
      </c>
      <c r="D304">
        <v>1</v>
      </c>
      <c r="E304" s="1">
        <v>500</v>
      </c>
      <c r="F304" s="1">
        <f>Table3[[#This Row],[UnitPrice]]*Table3[[#This Row],[Quantity]]</f>
        <v>500</v>
      </c>
    </row>
    <row r="305" spans="1:6" x14ac:dyDescent="0.55000000000000004">
      <c r="A305" t="s">
        <v>264</v>
      </c>
      <c r="B305" t="s">
        <v>329</v>
      </c>
      <c r="C305" t="s">
        <v>326</v>
      </c>
      <c r="D305">
        <v>3</v>
      </c>
      <c r="E305" s="1">
        <v>1500</v>
      </c>
      <c r="F305" s="1">
        <f>Table3[[#This Row],[UnitPrice]]*Table3[[#This Row],[Quantity]]</f>
        <v>4500</v>
      </c>
    </row>
    <row r="306" spans="1:6" x14ac:dyDescent="0.55000000000000004">
      <c r="A306" t="s">
        <v>265</v>
      </c>
      <c r="B306" t="s">
        <v>333</v>
      </c>
      <c r="C306" t="s">
        <v>331</v>
      </c>
      <c r="D306">
        <v>2</v>
      </c>
      <c r="E306" s="1">
        <v>15000</v>
      </c>
      <c r="F306" s="1">
        <f>Table3[[#This Row],[UnitPrice]]*Table3[[#This Row],[Quantity]]</f>
        <v>30000</v>
      </c>
    </row>
    <row r="307" spans="1:6" x14ac:dyDescent="0.55000000000000004">
      <c r="A307" t="s">
        <v>265</v>
      </c>
      <c r="B307" t="s">
        <v>334</v>
      </c>
      <c r="C307" t="s">
        <v>328</v>
      </c>
      <c r="D307">
        <v>5</v>
      </c>
      <c r="E307" s="1">
        <v>55000</v>
      </c>
      <c r="F307" s="1">
        <f>Table3[[#This Row],[UnitPrice]]*Table3[[#This Row],[Quantity]]</f>
        <v>275000</v>
      </c>
    </row>
    <row r="308" spans="1:6" x14ac:dyDescent="0.55000000000000004">
      <c r="A308" t="s">
        <v>265</v>
      </c>
      <c r="B308" t="s">
        <v>325</v>
      </c>
      <c r="C308" t="s">
        <v>326</v>
      </c>
      <c r="D308">
        <v>2</v>
      </c>
      <c r="E308" s="1">
        <v>2500</v>
      </c>
      <c r="F308" s="1">
        <f>Table3[[#This Row],[UnitPrice]]*Table3[[#This Row],[Quantity]]</f>
        <v>5000</v>
      </c>
    </row>
    <row r="309" spans="1:6" x14ac:dyDescent="0.55000000000000004">
      <c r="A309" t="s">
        <v>266</v>
      </c>
      <c r="B309" t="s">
        <v>332</v>
      </c>
      <c r="C309" t="s">
        <v>326</v>
      </c>
      <c r="D309">
        <v>4</v>
      </c>
      <c r="E309" s="1">
        <v>500</v>
      </c>
      <c r="F309" s="1">
        <f>Table3[[#This Row],[UnitPrice]]*Table3[[#This Row],[Quantity]]</f>
        <v>2000</v>
      </c>
    </row>
    <row r="310" spans="1:6" x14ac:dyDescent="0.55000000000000004">
      <c r="A310" t="s">
        <v>267</v>
      </c>
      <c r="B310" t="s">
        <v>330</v>
      </c>
      <c r="C310" t="s">
        <v>331</v>
      </c>
      <c r="D310">
        <v>4</v>
      </c>
      <c r="E310" s="1">
        <v>7000</v>
      </c>
      <c r="F310" s="1">
        <f>Table3[[#This Row],[UnitPrice]]*Table3[[#This Row],[Quantity]]</f>
        <v>28000</v>
      </c>
    </row>
    <row r="311" spans="1:6" x14ac:dyDescent="0.55000000000000004">
      <c r="A311" t="s">
        <v>267</v>
      </c>
      <c r="B311" t="s">
        <v>334</v>
      </c>
      <c r="C311" t="s">
        <v>328</v>
      </c>
      <c r="D311">
        <v>2</v>
      </c>
      <c r="E311" s="1">
        <v>55000</v>
      </c>
      <c r="F311" s="1">
        <f>Table3[[#This Row],[UnitPrice]]*Table3[[#This Row],[Quantity]]</f>
        <v>110000</v>
      </c>
    </row>
    <row r="312" spans="1:6" x14ac:dyDescent="0.55000000000000004">
      <c r="A312" t="s">
        <v>268</v>
      </c>
      <c r="B312" t="s">
        <v>327</v>
      </c>
      <c r="C312" t="s">
        <v>328</v>
      </c>
      <c r="D312">
        <v>5</v>
      </c>
      <c r="E312" s="1">
        <v>12000</v>
      </c>
      <c r="F312" s="1">
        <f>Table3[[#This Row],[UnitPrice]]*Table3[[#This Row],[Quantity]]</f>
        <v>60000</v>
      </c>
    </row>
    <row r="313" spans="1:6" x14ac:dyDescent="0.55000000000000004">
      <c r="A313" t="s">
        <v>269</v>
      </c>
      <c r="B313" t="s">
        <v>329</v>
      </c>
      <c r="C313" t="s">
        <v>326</v>
      </c>
      <c r="D313">
        <v>5</v>
      </c>
      <c r="E313" s="1">
        <v>1500</v>
      </c>
      <c r="F313" s="1">
        <f>Table3[[#This Row],[UnitPrice]]*Table3[[#This Row],[Quantity]]</f>
        <v>7500</v>
      </c>
    </row>
    <row r="314" spans="1:6" x14ac:dyDescent="0.55000000000000004">
      <c r="A314" t="s">
        <v>269</v>
      </c>
      <c r="B314" t="s">
        <v>325</v>
      </c>
      <c r="C314" t="s">
        <v>326</v>
      </c>
      <c r="D314">
        <v>1</v>
      </c>
      <c r="E314" s="1">
        <v>2500</v>
      </c>
      <c r="F314" s="1">
        <f>Table3[[#This Row],[UnitPrice]]*Table3[[#This Row],[Quantity]]</f>
        <v>2500</v>
      </c>
    </row>
    <row r="315" spans="1:6" x14ac:dyDescent="0.55000000000000004">
      <c r="A315" t="s">
        <v>270</v>
      </c>
      <c r="B315" t="s">
        <v>332</v>
      </c>
      <c r="C315" t="s">
        <v>326</v>
      </c>
      <c r="D315">
        <v>4</v>
      </c>
      <c r="E315" s="1">
        <v>500</v>
      </c>
      <c r="F315" s="1">
        <f>Table3[[#This Row],[UnitPrice]]*Table3[[#This Row],[Quantity]]</f>
        <v>2000</v>
      </c>
    </row>
    <row r="316" spans="1:6" x14ac:dyDescent="0.55000000000000004">
      <c r="A316" t="s">
        <v>271</v>
      </c>
      <c r="B316" t="s">
        <v>325</v>
      </c>
      <c r="C316" t="s">
        <v>326</v>
      </c>
      <c r="D316">
        <v>2</v>
      </c>
      <c r="E316" s="1">
        <v>2500</v>
      </c>
      <c r="F316" s="1">
        <f>Table3[[#This Row],[UnitPrice]]*Table3[[#This Row],[Quantity]]</f>
        <v>5000</v>
      </c>
    </row>
    <row r="317" spans="1:6" x14ac:dyDescent="0.55000000000000004">
      <c r="A317" t="s">
        <v>271</v>
      </c>
      <c r="B317" t="s">
        <v>330</v>
      </c>
      <c r="C317" t="s">
        <v>331</v>
      </c>
      <c r="D317">
        <v>5</v>
      </c>
      <c r="E317" s="1">
        <v>7000</v>
      </c>
      <c r="F317" s="1">
        <f>Table3[[#This Row],[UnitPrice]]*Table3[[#This Row],[Quantity]]</f>
        <v>35000</v>
      </c>
    </row>
    <row r="318" spans="1:6" x14ac:dyDescent="0.55000000000000004">
      <c r="A318" t="s">
        <v>272</v>
      </c>
      <c r="B318" t="s">
        <v>329</v>
      </c>
      <c r="C318" t="s">
        <v>326</v>
      </c>
      <c r="D318">
        <v>2</v>
      </c>
      <c r="E318" s="1">
        <v>1500</v>
      </c>
      <c r="F318" s="1">
        <f>Table3[[#This Row],[UnitPrice]]*Table3[[#This Row],[Quantity]]</f>
        <v>3000</v>
      </c>
    </row>
    <row r="319" spans="1:6" x14ac:dyDescent="0.55000000000000004">
      <c r="A319" t="s">
        <v>272</v>
      </c>
      <c r="B319" t="s">
        <v>333</v>
      </c>
      <c r="C319" t="s">
        <v>331</v>
      </c>
      <c r="D319">
        <v>5</v>
      </c>
      <c r="E319" s="1">
        <v>15000</v>
      </c>
      <c r="F319" s="1">
        <f>Table3[[#This Row],[UnitPrice]]*Table3[[#This Row],[Quantity]]</f>
        <v>75000</v>
      </c>
    </row>
    <row r="320" spans="1:6" x14ac:dyDescent="0.55000000000000004">
      <c r="A320" t="s">
        <v>272</v>
      </c>
      <c r="B320" t="s">
        <v>327</v>
      </c>
      <c r="C320" t="s">
        <v>328</v>
      </c>
      <c r="D320">
        <v>2</v>
      </c>
      <c r="E320" s="1">
        <v>12000</v>
      </c>
      <c r="F320" s="1">
        <f>Table3[[#This Row],[UnitPrice]]*Table3[[#This Row],[Quantity]]</f>
        <v>24000</v>
      </c>
    </row>
    <row r="321" spans="1:6" x14ac:dyDescent="0.55000000000000004">
      <c r="A321" t="s">
        <v>273</v>
      </c>
      <c r="B321" t="s">
        <v>334</v>
      </c>
      <c r="C321" t="s">
        <v>328</v>
      </c>
      <c r="D321">
        <v>1</v>
      </c>
      <c r="E321" s="1">
        <v>55000</v>
      </c>
      <c r="F321" s="1">
        <f>Table3[[#This Row],[UnitPrice]]*Table3[[#This Row],[Quantity]]</f>
        <v>55000</v>
      </c>
    </row>
    <row r="322" spans="1:6" x14ac:dyDescent="0.55000000000000004">
      <c r="A322" t="s">
        <v>273</v>
      </c>
      <c r="B322" t="s">
        <v>329</v>
      </c>
      <c r="C322" t="s">
        <v>326</v>
      </c>
      <c r="D322">
        <v>5</v>
      </c>
      <c r="E322" s="1">
        <v>1500</v>
      </c>
      <c r="F322" s="1">
        <f>Table3[[#This Row],[UnitPrice]]*Table3[[#This Row],[Quantity]]</f>
        <v>7500</v>
      </c>
    </row>
    <row r="323" spans="1:6" x14ac:dyDescent="0.55000000000000004">
      <c r="A323" t="s">
        <v>273</v>
      </c>
      <c r="B323" t="s">
        <v>325</v>
      </c>
      <c r="C323" t="s">
        <v>326</v>
      </c>
      <c r="D323">
        <v>5</v>
      </c>
      <c r="E323" s="1">
        <v>2500</v>
      </c>
      <c r="F323" s="1">
        <f>Table3[[#This Row],[UnitPrice]]*Table3[[#This Row],[Quantity]]</f>
        <v>12500</v>
      </c>
    </row>
    <row r="324" spans="1:6" x14ac:dyDescent="0.55000000000000004">
      <c r="A324" t="s">
        <v>274</v>
      </c>
      <c r="B324" t="s">
        <v>333</v>
      </c>
      <c r="C324" t="s">
        <v>331</v>
      </c>
      <c r="D324">
        <v>1</v>
      </c>
      <c r="E324" s="1">
        <v>15000</v>
      </c>
      <c r="F324" s="1">
        <f>Table3[[#This Row],[UnitPrice]]*Table3[[#This Row],[Quantity]]</f>
        <v>15000</v>
      </c>
    </row>
    <row r="325" spans="1:6" x14ac:dyDescent="0.55000000000000004">
      <c r="A325" t="s">
        <v>274</v>
      </c>
      <c r="B325" t="s">
        <v>329</v>
      </c>
      <c r="C325" t="s">
        <v>326</v>
      </c>
      <c r="D325">
        <v>4</v>
      </c>
      <c r="E325" s="1">
        <v>1500</v>
      </c>
      <c r="F325" s="1">
        <f>Table3[[#This Row],[UnitPrice]]*Table3[[#This Row],[Quantity]]</f>
        <v>6000</v>
      </c>
    </row>
    <row r="326" spans="1:6" x14ac:dyDescent="0.55000000000000004">
      <c r="A326" t="s">
        <v>275</v>
      </c>
      <c r="B326" t="s">
        <v>333</v>
      </c>
      <c r="C326" t="s">
        <v>331</v>
      </c>
      <c r="D326">
        <v>4</v>
      </c>
      <c r="E326" s="1">
        <v>15000</v>
      </c>
      <c r="F326" s="1">
        <f>Table3[[#This Row],[UnitPrice]]*Table3[[#This Row],[Quantity]]</f>
        <v>60000</v>
      </c>
    </row>
    <row r="327" spans="1:6" x14ac:dyDescent="0.55000000000000004">
      <c r="A327" t="s">
        <v>275</v>
      </c>
      <c r="B327" t="s">
        <v>329</v>
      </c>
      <c r="C327" t="s">
        <v>326</v>
      </c>
      <c r="D327">
        <v>2</v>
      </c>
      <c r="E327" s="1">
        <v>1500</v>
      </c>
      <c r="F327" s="1">
        <f>Table3[[#This Row],[UnitPrice]]*Table3[[#This Row],[Quantity]]</f>
        <v>3000</v>
      </c>
    </row>
    <row r="328" spans="1:6" x14ac:dyDescent="0.55000000000000004">
      <c r="A328" t="s">
        <v>276</v>
      </c>
      <c r="B328" t="s">
        <v>334</v>
      </c>
      <c r="C328" t="s">
        <v>328</v>
      </c>
      <c r="D328">
        <v>1</v>
      </c>
      <c r="E328" s="1">
        <v>55000</v>
      </c>
      <c r="F328" s="1">
        <f>Table3[[#This Row],[UnitPrice]]*Table3[[#This Row],[Quantity]]</f>
        <v>55000</v>
      </c>
    </row>
    <row r="329" spans="1:6" x14ac:dyDescent="0.55000000000000004">
      <c r="A329" t="s">
        <v>276</v>
      </c>
      <c r="B329" t="s">
        <v>325</v>
      </c>
      <c r="C329" t="s">
        <v>326</v>
      </c>
      <c r="D329">
        <v>5</v>
      </c>
      <c r="E329" s="1">
        <v>2500</v>
      </c>
      <c r="F329" s="1">
        <f>Table3[[#This Row],[UnitPrice]]*Table3[[#This Row],[Quantity]]</f>
        <v>12500</v>
      </c>
    </row>
    <row r="330" spans="1:6" x14ac:dyDescent="0.55000000000000004">
      <c r="A330" t="s">
        <v>276</v>
      </c>
      <c r="B330" t="s">
        <v>333</v>
      </c>
      <c r="C330" t="s">
        <v>331</v>
      </c>
      <c r="D330">
        <v>4</v>
      </c>
      <c r="E330" s="1">
        <v>15000</v>
      </c>
      <c r="F330" s="1">
        <f>Table3[[#This Row],[UnitPrice]]*Table3[[#This Row],[Quantity]]</f>
        <v>60000</v>
      </c>
    </row>
    <row r="331" spans="1:6" x14ac:dyDescent="0.55000000000000004">
      <c r="A331" t="s">
        <v>277</v>
      </c>
      <c r="B331" t="s">
        <v>330</v>
      </c>
      <c r="C331" t="s">
        <v>331</v>
      </c>
      <c r="D331">
        <v>2</v>
      </c>
      <c r="E331" s="1">
        <v>7000</v>
      </c>
      <c r="F331" s="1">
        <f>Table3[[#This Row],[UnitPrice]]*Table3[[#This Row],[Quantity]]</f>
        <v>14000</v>
      </c>
    </row>
    <row r="332" spans="1:6" x14ac:dyDescent="0.55000000000000004">
      <c r="A332" t="s">
        <v>278</v>
      </c>
      <c r="B332" t="s">
        <v>327</v>
      </c>
      <c r="C332" t="s">
        <v>328</v>
      </c>
      <c r="D332">
        <v>3</v>
      </c>
      <c r="E332" s="1">
        <v>12000</v>
      </c>
      <c r="F332" s="1">
        <f>Table3[[#This Row],[UnitPrice]]*Table3[[#This Row],[Quantity]]</f>
        <v>36000</v>
      </c>
    </row>
    <row r="333" spans="1:6" x14ac:dyDescent="0.55000000000000004">
      <c r="A333" t="s">
        <v>279</v>
      </c>
      <c r="B333" t="s">
        <v>329</v>
      </c>
      <c r="C333" t="s">
        <v>326</v>
      </c>
      <c r="D333">
        <v>5</v>
      </c>
      <c r="E333" s="1">
        <v>1500</v>
      </c>
      <c r="F333" s="1">
        <f>Table3[[#This Row],[UnitPrice]]*Table3[[#This Row],[Quantity]]</f>
        <v>7500</v>
      </c>
    </row>
    <row r="334" spans="1:6" x14ac:dyDescent="0.55000000000000004">
      <c r="A334" t="s">
        <v>279</v>
      </c>
      <c r="B334" t="s">
        <v>329</v>
      </c>
      <c r="C334" t="s">
        <v>326</v>
      </c>
      <c r="D334">
        <v>1</v>
      </c>
      <c r="E334" s="1">
        <v>1500</v>
      </c>
      <c r="F334" s="1">
        <f>Table3[[#This Row],[UnitPrice]]*Table3[[#This Row],[Quantity]]</f>
        <v>1500</v>
      </c>
    </row>
    <row r="335" spans="1:6" x14ac:dyDescent="0.55000000000000004">
      <c r="A335" t="s">
        <v>280</v>
      </c>
      <c r="B335" t="s">
        <v>330</v>
      </c>
      <c r="C335" t="s">
        <v>331</v>
      </c>
      <c r="D335">
        <v>1</v>
      </c>
      <c r="E335" s="1">
        <v>7000</v>
      </c>
      <c r="F335" s="1">
        <f>Table3[[#This Row],[UnitPrice]]*Table3[[#This Row],[Quantity]]</f>
        <v>7000</v>
      </c>
    </row>
    <row r="336" spans="1:6" x14ac:dyDescent="0.55000000000000004">
      <c r="A336" t="s">
        <v>280</v>
      </c>
      <c r="B336" t="s">
        <v>334</v>
      </c>
      <c r="C336" t="s">
        <v>328</v>
      </c>
      <c r="D336">
        <v>5</v>
      </c>
      <c r="E336" s="1">
        <v>55000</v>
      </c>
      <c r="F336" s="1">
        <f>Table3[[#This Row],[UnitPrice]]*Table3[[#This Row],[Quantity]]</f>
        <v>275000</v>
      </c>
    </row>
    <row r="337" spans="1:6" x14ac:dyDescent="0.55000000000000004">
      <c r="A337" t="s">
        <v>281</v>
      </c>
      <c r="B337" t="s">
        <v>327</v>
      </c>
      <c r="C337" t="s">
        <v>328</v>
      </c>
      <c r="D337">
        <v>5</v>
      </c>
      <c r="E337" s="1">
        <v>12000</v>
      </c>
      <c r="F337" s="1">
        <f>Table3[[#This Row],[UnitPrice]]*Table3[[#This Row],[Quantity]]</f>
        <v>60000</v>
      </c>
    </row>
    <row r="338" spans="1:6" x14ac:dyDescent="0.55000000000000004">
      <c r="A338" t="s">
        <v>281</v>
      </c>
      <c r="B338" t="s">
        <v>329</v>
      </c>
      <c r="C338" t="s">
        <v>326</v>
      </c>
      <c r="D338">
        <v>1</v>
      </c>
      <c r="E338" s="1">
        <v>1500</v>
      </c>
      <c r="F338" s="1">
        <f>Table3[[#This Row],[UnitPrice]]*Table3[[#This Row],[Quantity]]</f>
        <v>1500</v>
      </c>
    </row>
    <row r="339" spans="1:6" x14ac:dyDescent="0.55000000000000004">
      <c r="A339" t="s">
        <v>282</v>
      </c>
      <c r="B339" t="s">
        <v>332</v>
      </c>
      <c r="C339" t="s">
        <v>326</v>
      </c>
      <c r="D339">
        <v>5</v>
      </c>
      <c r="E339" s="1">
        <v>500</v>
      </c>
      <c r="F339" s="1">
        <f>Table3[[#This Row],[UnitPrice]]*Table3[[#This Row],[Quantity]]</f>
        <v>2500</v>
      </c>
    </row>
    <row r="340" spans="1:6" x14ac:dyDescent="0.55000000000000004">
      <c r="A340" t="s">
        <v>282</v>
      </c>
      <c r="B340" t="s">
        <v>327</v>
      </c>
      <c r="C340" t="s">
        <v>328</v>
      </c>
      <c r="D340">
        <v>1</v>
      </c>
      <c r="E340" s="1">
        <v>12000</v>
      </c>
      <c r="F340" s="1">
        <f>Table3[[#This Row],[UnitPrice]]*Table3[[#This Row],[Quantity]]</f>
        <v>12000</v>
      </c>
    </row>
    <row r="341" spans="1:6" x14ac:dyDescent="0.55000000000000004">
      <c r="A341" t="s">
        <v>283</v>
      </c>
      <c r="B341" t="s">
        <v>332</v>
      </c>
      <c r="C341" t="s">
        <v>326</v>
      </c>
      <c r="D341">
        <v>1</v>
      </c>
      <c r="E341" s="1">
        <v>500</v>
      </c>
      <c r="F341" s="1">
        <f>Table3[[#This Row],[UnitPrice]]*Table3[[#This Row],[Quantity]]</f>
        <v>500</v>
      </c>
    </row>
    <row r="342" spans="1:6" x14ac:dyDescent="0.55000000000000004">
      <c r="A342" t="s">
        <v>283</v>
      </c>
      <c r="B342" t="s">
        <v>327</v>
      </c>
      <c r="C342" t="s">
        <v>328</v>
      </c>
      <c r="D342">
        <v>2</v>
      </c>
      <c r="E342" s="1">
        <v>12000</v>
      </c>
      <c r="F342" s="1">
        <f>Table3[[#This Row],[UnitPrice]]*Table3[[#This Row],[Quantity]]</f>
        <v>24000</v>
      </c>
    </row>
    <row r="343" spans="1:6" x14ac:dyDescent="0.55000000000000004">
      <c r="A343" t="s">
        <v>284</v>
      </c>
      <c r="B343" t="s">
        <v>327</v>
      </c>
      <c r="C343" t="s">
        <v>328</v>
      </c>
      <c r="D343">
        <v>5</v>
      </c>
      <c r="E343" s="1">
        <v>12000</v>
      </c>
      <c r="F343" s="1">
        <f>Table3[[#This Row],[UnitPrice]]*Table3[[#This Row],[Quantity]]</f>
        <v>60000</v>
      </c>
    </row>
    <row r="344" spans="1:6" x14ac:dyDescent="0.55000000000000004">
      <c r="A344" t="s">
        <v>284</v>
      </c>
      <c r="B344" t="s">
        <v>327</v>
      </c>
      <c r="C344" t="s">
        <v>328</v>
      </c>
      <c r="D344">
        <v>2</v>
      </c>
      <c r="E344" s="1">
        <v>12000</v>
      </c>
      <c r="F344" s="1">
        <f>Table3[[#This Row],[UnitPrice]]*Table3[[#This Row],[Quantity]]</f>
        <v>24000</v>
      </c>
    </row>
    <row r="345" spans="1:6" x14ac:dyDescent="0.55000000000000004">
      <c r="A345" t="s">
        <v>285</v>
      </c>
      <c r="B345" t="s">
        <v>325</v>
      </c>
      <c r="C345" t="s">
        <v>326</v>
      </c>
      <c r="D345">
        <v>2</v>
      </c>
      <c r="E345" s="1">
        <v>2500</v>
      </c>
      <c r="F345" s="1">
        <f>Table3[[#This Row],[UnitPrice]]*Table3[[#This Row],[Quantity]]</f>
        <v>5000</v>
      </c>
    </row>
    <row r="346" spans="1:6" x14ac:dyDescent="0.55000000000000004">
      <c r="A346" t="s">
        <v>285</v>
      </c>
      <c r="B346" t="s">
        <v>332</v>
      </c>
      <c r="C346" t="s">
        <v>326</v>
      </c>
      <c r="D346">
        <v>2</v>
      </c>
      <c r="E346" s="1">
        <v>500</v>
      </c>
      <c r="F346" s="1">
        <f>Table3[[#This Row],[UnitPrice]]*Table3[[#This Row],[Quantity]]</f>
        <v>1000</v>
      </c>
    </row>
    <row r="347" spans="1:6" x14ac:dyDescent="0.55000000000000004">
      <c r="A347" t="s">
        <v>286</v>
      </c>
      <c r="B347" t="s">
        <v>330</v>
      </c>
      <c r="C347" t="s">
        <v>331</v>
      </c>
      <c r="D347">
        <v>4</v>
      </c>
      <c r="E347" s="1">
        <v>7000</v>
      </c>
      <c r="F347" s="1">
        <f>Table3[[#This Row],[UnitPrice]]*Table3[[#This Row],[Quantity]]</f>
        <v>28000</v>
      </c>
    </row>
    <row r="348" spans="1:6" x14ac:dyDescent="0.55000000000000004">
      <c r="A348" t="s">
        <v>286</v>
      </c>
      <c r="B348" t="s">
        <v>325</v>
      </c>
      <c r="C348" t="s">
        <v>326</v>
      </c>
      <c r="D348">
        <v>5</v>
      </c>
      <c r="E348" s="1">
        <v>2500</v>
      </c>
      <c r="F348" s="1">
        <f>Table3[[#This Row],[UnitPrice]]*Table3[[#This Row],[Quantity]]</f>
        <v>12500</v>
      </c>
    </row>
    <row r="349" spans="1:6" x14ac:dyDescent="0.55000000000000004">
      <c r="A349" t="s">
        <v>286</v>
      </c>
      <c r="B349" t="s">
        <v>333</v>
      </c>
      <c r="C349" t="s">
        <v>331</v>
      </c>
      <c r="D349">
        <v>3</v>
      </c>
      <c r="E349" s="1">
        <v>15000</v>
      </c>
      <c r="F349" s="1">
        <f>Table3[[#This Row],[UnitPrice]]*Table3[[#This Row],[Quantity]]</f>
        <v>45000</v>
      </c>
    </row>
    <row r="350" spans="1:6" x14ac:dyDescent="0.55000000000000004">
      <c r="A350" t="s">
        <v>287</v>
      </c>
      <c r="B350" t="s">
        <v>332</v>
      </c>
      <c r="C350" t="s">
        <v>326</v>
      </c>
      <c r="D350">
        <v>3</v>
      </c>
      <c r="E350" s="1">
        <v>500</v>
      </c>
      <c r="F350" s="1">
        <f>Table3[[#This Row],[UnitPrice]]*Table3[[#This Row],[Quantity]]</f>
        <v>1500</v>
      </c>
    </row>
    <row r="351" spans="1:6" x14ac:dyDescent="0.55000000000000004">
      <c r="A351" t="s">
        <v>287</v>
      </c>
      <c r="B351" t="s">
        <v>332</v>
      </c>
      <c r="C351" t="s">
        <v>326</v>
      </c>
      <c r="D351">
        <v>3</v>
      </c>
      <c r="E351" s="1">
        <v>500</v>
      </c>
      <c r="F351" s="1">
        <f>Table3[[#This Row],[UnitPrice]]*Table3[[#This Row],[Quantity]]</f>
        <v>1500</v>
      </c>
    </row>
    <row r="352" spans="1:6" x14ac:dyDescent="0.55000000000000004">
      <c r="A352" t="s">
        <v>287</v>
      </c>
      <c r="B352" t="s">
        <v>325</v>
      </c>
      <c r="C352" t="s">
        <v>326</v>
      </c>
      <c r="D352">
        <v>3</v>
      </c>
      <c r="E352" s="1">
        <v>2500</v>
      </c>
      <c r="F352" s="1">
        <f>Table3[[#This Row],[UnitPrice]]*Table3[[#This Row],[Quantity]]</f>
        <v>7500</v>
      </c>
    </row>
    <row r="353" spans="1:6" x14ac:dyDescent="0.55000000000000004">
      <c r="A353" t="s">
        <v>288</v>
      </c>
      <c r="B353" t="s">
        <v>325</v>
      </c>
      <c r="C353" t="s">
        <v>326</v>
      </c>
      <c r="D353">
        <v>5</v>
      </c>
      <c r="E353" s="1">
        <v>2500</v>
      </c>
      <c r="F353" s="1">
        <f>Table3[[#This Row],[UnitPrice]]*Table3[[#This Row],[Quantity]]</f>
        <v>12500</v>
      </c>
    </row>
    <row r="354" spans="1:6" x14ac:dyDescent="0.55000000000000004">
      <c r="A354" t="s">
        <v>289</v>
      </c>
      <c r="B354" t="s">
        <v>327</v>
      </c>
      <c r="C354" t="s">
        <v>328</v>
      </c>
      <c r="D354">
        <v>4</v>
      </c>
      <c r="E354" s="1">
        <v>12000</v>
      </c>
      <c r="F354" s="1">
        <f>Table3[[#This Row],[UnitPrice]]*Table3[[#This Row],[Quantity]]</f>
        <v>48000</v>
      </c>
    </row>
    <row r="355" spans="1:6" x14ac:dyDescent="0.55000000000000004">
      <c r="A355" t="s">
        <v>290</v>
      </c>
      <c r="B355" t="s">
        <v>334</v>
      </c>
      <c r="C355" t="s">
        <v>328</v>
      </c>
      <c r="D355">
        <v>5</v>
      </c>
      <c r="E355" s="1">
        <v>55000</v>
      </c>
      <c r="F355" s="1">
        <f>Table3[[#This Row],[UnitPrice]]*Table3[[#This Row],[Quantity]]</f>
        <v>275000</v>
      </c>
    </row>
    <row r="356" spans="1:6" x14ac:dyDescent="0.55000000000000004">
      <c r="A356" t="s">
        <v>290</v>
      </c>
      <c r="B356" t="s">
        <v>329</v>
      </c>
      <c r="C356" t="s">
        <v>326</v>
      </c>
      <c r="D356">
        <v>5</v>
      </c>
      <c r="E356" s="1">
        <v>1500</v>
      </c>
      <c r="F356" s="1">
        <f>Table3[[#This Row],[UnitPrice]]*Table3[[#This Row],[Quantity]]</f>
        <v>7500</v>
      </c>
    </row>
    <row r="357" spans="1:6" x14ac:dyDescent="0.55000000000000004">
      <c r="A357" t="s">
        <v>290</v>
      </c>
      <c r="B357" t="s">
        <v>332</v>
      </c>
      <c r="C357" t="s">
        <v>326</v>
      </c>
      <c r="D357">
        <v>2</v>
      </c>
      <c r="E357" s="1">
        <v>500</v>
      </c>
      <c r="F357" s="1">
        <f>Table3[[#This Row],[UnitPrice]]*Table3[[#This Row],[Quantity]]</f>
        <v>1000</v>
      </c>
    </row>
    <row r="358" spans="1:6" x14ac:dyDescent="0.55000000000000004">
      <c r="A358" t="s">
        <v>291</v>
      </c>
      <c r="B358" t="s">
        <v>334</v>
      </c>
      <c r="C358" t="s">
        <v>328</v>
      </c>
      <c r="D358">
        <v>5</v>
      </c>
      <c r="E358" s="1">
        <v>55000</v>
      </c>
      <c r="F358" s="1">
        <f>Table3[[#This Row],[UnitPrice]]*Table3[[#This Row],[Quantity]]</f>
        <v>275000</v>
      </c>
    </row>
    <row r="359" spans="1:6" x14ac:dyDescent="0.55000000000000004">
      <c r="A359" t="s">
        <v>291</v>
      </c>
      <c r="B359" t="s">
        <v>332</v>
      </c>
      <c r="C359" t="s">
        <v>326</v>
      </c>
      <c r="D359">
        <v>3</v>
      </c>
      <c r="E359" s="1">
        <v>500</v>
      </c>
      <c r="F359" s="1">
        <f>Table3[[#This Row],[UnitPrice]]*Table3[[#This Row],[Quantity]]</f>
        <v>1500</v>
      </c>
    </row>
    <row r="360" spans="1:6" x14ac:dyDescent="0.55000000000000004">
      <c r="A360" t="s">
        <v>291</v>
      </c>
      <c r="B360" t="s">
        <v>334</v>
      </c>
      <c r="C360" t="s">
        <v>328</v>
      </c>
      <c r="D360">
        <v>1</v>
      </c>
      <c r="E360" s="1">
        <v>55000</v>
      </c>
      <c r="F360" s="1">
        <f>Table3[[#This Row],[UnitPrice]]*Table3[[#This Row],[Quantity]]</f>
        <v>55000</v>
      </c>
    </row>
    <row r="361" spans="1:6" x14ac:dyDescent="0.55000000000000004">
      <c r="A361" t="s">
        <v>292</v>
      </c>
      <c r="B361" t="s">
        <v>325</v>
      </c>
      <c r="C361" t="s">
        <v>326</v>
      </c>
      <c r="D361">
        <v>5</v>
      </c>
      <c r="E361" s="1">
        <v>2500</v>
      </c>
      <c r="F361" s="1">
        <f>Table3[[#This Row],[UnitPrice]]*Table3[[#This Row],[Quantity]]</f>
        <v>12500</v>
      </c>
    </row>
    <row r="362" spans="1:6" x14ac:dyDescent="0.55000000000000004">
      <c r="A362" t="s">
        <v>292</v>
      </c>
      <c r="B362" t="s">
        <v>334</v>
      </c>
      <c r="C362" t="s">
        <v>328</v>
      </c>
      <c r="D362">
        <v>2</v>
      </c>
      <c r="E362" s="1">
        <v>55000</v>
      </c>
      <c r="F362" s="1">
        <f>Table3[[#This Row],[UnitPrice]]*Table3[[#This Row],[Quantity]]</f>
        <v>110000</v>
      </c>
    </row>
    <row r="363" spans="1:6" x14ac:dyDescent="0.55000000000000004">
      <c r="A363" t="s">
        <v>292</v>
      </c>
      <c r="B363" t="s">
        <v>332</v>
      </c>
      <c r="C363" t="s">
        <v>326</v>
      </c>
      <c r="D363">
        <v>2</v>
      </c>
      <c r="E363" s="1">
        <v>500</v>
      </c>
      <c r="F363" s="1">
        <f>Table3[[#This Row],[UnitPrice]]*Table3[[#This Row],[Quantity]]</f>
        <v>1000</v>
      </c>
    </row>
    <row r="364" spans="1:6" x14ac:dyDescent="0.55000000000000004">
      <c r="A364" t="s">
        <v>293</v>
      </c>
      <c r="B364" t="s">
        <v>333</v>
      </c>
      <c r="C364" t="s">
        <v>331</v>
      </c>
      <c r="D364">
        <v>4</v>
      </c>
      <c r="E364" s="1">
        <v>15000</v>
      </c>
      <c r="F364" s="1">
        <f>Table3[[#This Row],[UnitPrice]]*Table3[[#This Row],[Quantity]]</f>
        <v>60000</v>
      </c>
    </row>
    <row r="365" spans="1:6" x14ac:dyDescent="0.55000000000000004">
      <c r="A365" t="s">
        <v>294</v>
      </c>
      <c r="B365" t="s">
        <v>329</v>
      </c>
      <c r="C365" t="s">
        <v>326</v>
      </c>
      <c r="D365">
        <v>5</v>
      </c>
      <c r="E365" s="1">
        <v>1500</v>
      </c>
      <c r="F365" s="1">
        <f>Table3[[#This Row],[UnitPrice]]*Table3[[#This Row],[Quantity]]</f>
        <v>7500</v>
      </c>
    </row>
    <row r="366" spans="1:6" x14ac:dyDescent="0.55000000000000004">
      <c r="A366" t="s">
        <v>294</v>
      </c>
      <c r="B366" t="s">
        <v>333</v>
      </c>
      <c r="C366" t="s">
        <v>331</v>
      </c>
      <c r="D366">
        <v>3</v>
      </c>
      <c r="E366" s="1">
        <v>15000</v>
      </c>
      <c r="F366" s="1">
        <f>Table3[[#This Row],[UnitPrice]]*Table3[[#This Row],[Quantity]]</f>
        <v>45000</v>
      </c>
    </row>
    <row r="367" spans="1:6" x14ac:dyDescent="0.55000000000000004">
      <c r="A367" t="s">
        <v>295</v>
      </c>
      <c r="B367" t="s">
        <v>333</v>
      </c>
      <c r="C367" t="s">
        <v>331</v>
      </c>
      <c r="D367">
        <v>5</v>
      </c>
      <c r="E367" s="1">
        <v>15000</v>
      </c>
      <c r="F367" s="1">
        <f>Table3[[#This Row],[UnitPrice]]*Table3[[#This Row],[Quantity]]</f>
        <v>75000</v>
      </c>
    </row>
    <row r="368" spans="1:6" x14ac:dyDescent="0.55000000000000004">
      <c r="A368" t="s">
        <v>295</v>
      </c>
      <c r="B368" t="s">
        <v>333</v>
      </c>
      <c r="C368" t="s">
        <v>331</v>
      </c>
      <c r="D368">
        <v>4</v>
      </c>
      <c r="E368" s="1">
        <v>15000</v>
      </c>
      <c r="F368" s="1">
        <f>Table3[[#This Row],[UnitPrice]]*Table3[[#This Row],[Quantity]]</f>
        <v>60000</v>
      </c>
    </row>
    <row r="369" spans="1:6" x14ac:dyDescent="0.55000000000000004">
      <c r="A369" t="s">
        <v>296</v>
      </c>
      <c r="B369" t="s">
        <v>333</v>
      </c>
      <c r="C369" t="s">
        <v>331</v>
      </c>
      <c r="D369">
        <v>1</v>
      </c>
      <c r="E369" s="1">
        <v>15000</v>
      </c>
      <c r="F369" s="1">
        <f>Table3[[#This Row],[UnitPrice]]*Table3[[#This Row],[Quantity]]</f>
        <v>15000</v>
      </c>
    </row>
    <row r="370" spans="1:6" x14ac:dyDescent="0.55000000000000004">
      <c r="A370" t="s">
        <v>297</v>
      </c>
      <c r="B370" t="s">
        <v>329</v>
      </c>
      <c r="C370" t="s">
        <v>326</v>
      </c>
      <c r="D370">
        <v>3</v>
      </c>
      <c r="E370" s="1">
        <v>1500</v>
      </c>
      <c r="F370" s="1">
        <f>Table3[[#This Row],[UnitPrice]]*Table3[[#This Row],[Quantity]]</f>
        <v>4500</v>
      </c>
    </row>
    <row r="371" spans="1:6" x14ac:dyDescent="0.55000000000000004">
      <c r="A371" t="s">
        <v>297</v>
      </c>
      <c r="B371" t="s">
        <v>327</v>
      </c>
      <c r="C371" t="s">
        <v>328</v>
      </c>
      <c r="D371">
        <v>2</v>
      </c>
      <c r="E371" s="1">
        <v>12000</v>
      </c>
      <c r="F371" s="1">
        <f>Table3[[#This Row],[UnitPrice]]*Table3[[#This Row],[Quantity]]</f>
        <v>24000</v>
      </c>
    </row>
    <row r="372" spans="1:6" x14ac:dyDescent="0.55000000000000004">
      <c r="A372" t="s">
        <v>298</v>
      </c>
      <c r="B372" t="s">
        <v>325</v>
      </c>
      <c r="C372" t="s">
        <v>326</v>
      </c>
      <c r="D372">
        <v>4</v>
      </c>
      <c r="E372" s="1">
        <v>2500</v>
      </c>
      <c r="F372" s="1">
        <f>Table3[[#This Row],[UnitPrice]]*Table3[[#This Row],[Quantity]]</f>
        <v>10000</v>
      </c>
    </row>
    <row r="373" spans="1:6" x14ac:dyDescent="0.55000000000000004">
      <c r="A373" t="s">
        <v>299</v>
      </c>
      <c r="B373" t="s">
        <v>332</v>
      </c>
      <c r="C373" t="s">
        <v>326</v>
      </c>
      <c r="D373">
        <v>1</v>
      </c>
      <c r="E373" s="1">
        <v>500</v>
      </c>
      <c r="F373" s="1">
        <f>Table3[[#This Row],[UnitPrice]]*Table3[[#This Row],[Quantity]]</f>
        <v>500</v>
      </c>
    </row>
    <row r="374" spans="1:6" x14ac:dyDescent="0.55000000000000004">
      <c r="A374" t="s">
        <v>300</v>
      </c>
      <c r="B374" t="s">
        <v>333</v>
      </c>
      <c r="C374" t="s">
        <v>331</v>
      </c>
      <c r="D374">
        <v>3</v>
      </c>
      <c r="E374" s="1">
        <v>15000</v>
      </c>
      <c r="F374" s="1">
        <f>Table3[[#This Row],[UnitPrice]]*Table3[[#This Row],[Quantity]]</f>
        <v>45000</v>
      </c>
    </row>
    <row r="375" spans="1:6" x14ac:dyDescent="0.55000000000000004">
      <c r="A375" t="s">
        <v>300</v>
      </c>
      <c r="B375" t="s">
        <v>334</v>
      </c>
      <c r="C375" t="s">
        <v>328</v>
      </c>
      <c r="D375">
        <v>5</v>
      </c>
      <c r="E375" s="1">
        <v>55000</v>
      </c>
      <c r="F375" s="1">
        <f>Table3[[#This Row],[UnitPrice]]*Table3[[#This Row],[Quantity]]</f>
        <v>275000</v>
      </c>
    </row>
    <row r="376" spans="1:6" x14ac:dyDescent="0.55000000000000004">
      <c r="A376" t="s">
        <v>300</v>
      </c>
      <c r="B376" t="s">
        <v>334</v>
      </c>
      <c r="C376" t="s">
        <v>328</v>
      </c>
      <c r="D376">
        <v>3</v>
      </c>
      <c r="E376" s="1">
        <v>55000</v>
      </c>
      <c r="F376" s="1">
        <f>Table3[[#This Row],[UnitPrice]]*Table3[[#This Row],[Quantity]]</f>
        <v>165000</v>
      </c>
    </row>
    <row r="377" spans="1:6" x14ac:dyDescent="0.55000000000000004">
      <c r="A377" t="s">
        <v>301</v>
      </c>
      <c r="B377" t="s">
        <v>329</v>
      </c>
      <c r="C377" t="s">
        <v>326</v>
      </c>
      <c r="D377">
        <v>2</v>
      </c>
      <c r="E377" s="1">
        <v>1500</v>
      </c>
      <c r="F377" s="1">
        <f>Table3[[#This Row],[UnitPrice]]*Table3[[#This Row],[Quantity]]</f>
        <v>3000</v>
      </c>
    </row>
    <row r="378" spans="1:6" x14ac:dyDescent="0.55000000000000004">
      <c r="A378" t="s">
        <v>301</v>
      </c>
      <c r="B378" t="s">
        <v>332</v>
      </c>
      <c r="C378" t="s">
        <v>326</v>
      </c>
      <c r="D378">
        <v>4</v>
      </c>
      <c r="E378" s="1">
        <v>500</v>
      </c>
      <c r="F378" s="1">
        <f>Table3[[#This Row],[UnitPrice]]*Table3[[#This Row],[Quantity]]</f>
        <v>2000</v>
      </c>
    </row>
    <row r="379" spans="1:6" x14ac:dyDescent="0.55000000000000004">
      <c r="A379" t="s">
        <v>301</v>
      </c>
      <c r="B379" t="s">
        <v>327</v>
      </c>
      <c r="C379" t="s">
        <v>328</v>
      </c>
      <c r="D379">
        <v>5</v>
      </c>
      <c r="E379" s="1">
        <v>12000</v>
      </c>
      <c r="F379" s="1">
        <f>Table3[[#This Row],[UnitPrice]]*Table3[[#This Row],[Quantity]]</f>
        <v>60000</v>
      </c>
    </row>
    <row r="380" spans="1:6" x14ac:dyDescent="0.55000000000000004">
      <c r="A380" t="s">
        <v>302</v>
      </c>
      <c r="B380" t="s">
        <v>332</v>
      </c>
      <c r="C380" t="s">
        <v>326</v>
      </c>
      <c r="D380">
        <v>1</v>
      </c>
      <c r="E380" s="1">
        <v>500</v>
      </c>
      <c r="F380" s="1">
        <f>Table3[[#This Row],[UnitPrice]]*Table3[[#This Row],[Quantity]]</f>
        <v>500</v>
      </c>
    </row>
    <row r="381" spans="1:6" x14ac:dyDescent="0.55000000000000004">
      <c r="A381" t="s">
        <v>302</v>
      </c>
      <c r="B381" t="s">
        <v>330</v>
      </c>
      <c r="C381" t="s">
        <v>331</v>
      </c>
      <c r="D381">
        <v>4</v>
      </c>
      <c r="E381" s="1">
        <v>7000</v>
      </c>
      <c r="F381" s="1">
        <f>Table3[[#This Row],[UnitPrice]]*Table3[[#This Row],[Quantity]]</f>
        <v>28000</v>
      </c>
    </row>
    <row r="382" spans="1:6" x14ac:dyDescent="0.55000000000000004">
      <c r="A382" t="s">
        <v>302</v>
      </c>
      <c r="B382" t="s">
        <v>325</v>
      </c>
      <c r="C382" t="s">
        <v>326</v>
      </c>
      <c r="D382">
        <v>5</v>
      </c>
      <c r="E382" s="1">
        <v>2500</v>
      </c>
      <c r="F382" s="1">
        <f>Table3[[#This Row],[UnitPrice]]*Table3[[#This Row],[Quantity]]</f>
        <v>12500</v>
      </c>
    </row>
    <row r="383" spans="1:6" x14ac:dyDescent="0.55000000000000004">
      <c r="A383" t="s">
        <v>303</v>
      </c>
      <c r="B383" t="s">
        <v>333</v>
      </c>
      <c r="C383" t="s">
        <v>331</v>
      </c>
      <c r="D383">
        <v>2</v>
      </c>
      <c r="E383" s="1">
        <v>15000</v>
      </c>
      <c r="F383" s="1">
        <f>Table3[[#This Row],[UnitPrice]]*Table3[[#This Row],[Quantity]]</f>
        <v>30000</v>
      </c>
    </row>
    <row r="384" spans="1:6" x14ac:dyDescent="0.55000000000000004">
      <c r="A384" t="s">
        <v>303</v>
      </c>
      <c r="B384" t="s">
        <v>334</v>
      </c>
      <c r="C384" t="s">
        <v>328</v>
      </c>
      <c r="D384">
        <v>2</v>
      </c>
      <c r="E384" s="1">
        <v>55000</v>
      </c>
      <c r="F384" s="1">
        <f>Table3[[#This Row],[UnitPrice]]*Table3[[#This Row],[Quantity]]</f>
        <v>110000</v>
      </c>
    </row>
    <row r="385" spans="1:6" x14ac:dyDescent="0.55000000000000004">
      <c r="A385" t="s">
        <v>303</v>
      </c>
      <c r="B385" t="s">
        <v>327</v>
      </c>
      <c r="C385" t="s">
        <v>328</v>
      </c>
      <c r="D385">
        <v>4</v>
      </c>
      <c r="E385" s="1">
        <v>12000</v>
      </c>
      <c r="F385" s="1">
        <f>Table3[[#This Row],[UnitPrice]]*Table3[[#This Row],[Quantity]]</f>
        <v>48000</v>
      </c>
    </row>
    <row r="386" spans="1:6" x14ac:dyDescent="0.55000000000000004">
      <c r="A386" t="s">
        <v>304</v>
      </c>
      <c r="B386" t="s">
        <v>327</v>
      </c>
      <c r="C386" t="s">
        <v>328</v>
      </c>
      <c r="D386">
        <v>5</v>
      </c>
      <c r="E386" s="1">
        <v>12000</v>
      </c>
      <c r="F386" s="1">
        <f>Table3[[#This Row],[UnitPrice]]*Table3[[#This Row],[Quantity]]</f>
        <v>60000</v>
      </c>
    </row>
    <row r="387" spans="1:6" x14ac:dyDescent="0.55000000000000004">
      <c r="A387" t="s">
        <v>304</v>
      </c>
      <c r="B387" t="s">
        <v>330</v>
      </c>
      <c r="C387" t="s">
        <v>331</v>
      </c>
      <c r="D387">
        <v>4</v>
      </c>
      <c r="E387" s="1">
        <v>7000</v>
      </c>
      <c r="F387" s="1">
        <f>Table3[[#This Row],[UnitPrice]]*Table3[[#This Row],[Quantity]]</f>
        <v>28000</v>
      </c>
    </row>
    <row r="388" spans="1:6" x14ac:dyDescent="0.55000000000000004">
      <c r="A388" t="s">
        <v>305</v>
      </c>
      <c r="B388" t="s">
        <v>325</v>
      </c>
      <c r="C388" t="s">
        <v>326</v>
      </c>
      <c r="D388">
        <v>3</v>
      </c>
      <c r="E388" s="1">
        <v>2500</v>
      </c>
      <c r="F388" s="1">
        <f>Table3[[#This Row],[UnitPrice]]*Table3[[#This Row],[Quantity]]</f>
        <v>7500</v>
      </c>
    </row>
    <row r="389" spans="1:6" x14ac:dyDescent="0.55000000000000004">
      <c r="A389" t="s">
        <v>306</v>
      </c>
      <c r="B389" t="s">
        <v>332</v>
      </c>
      <c r="C389" t="s">
        <v>326</v>
      </c>
      <c r="D389">
        <v>2</v>
      </c>
      <c r="E389" s="1">
        <v>500</v>
      </c>
      <c r="F389" s="1">
        <f>Table3[[#This Row],[UnitPrice]]*Table3[[#This Row],[Quantity]]</f>
        <v>1000</v>
      </c>
    </row>
    <row r="390" spans="1:6" x14ac:dyDescent="0.55000000000000004">
      <c r="A390" t="s">
        <v>306</v>
      </c>
      <c r="B390" t="s">
        <v>330</v>
      </c>
      <c r="C390" t="s">
        <v>331</v>
      </c>
      <c r="D390">
        <v>4</v>
      </c>
      <c r="E390" s="1">
        <v>7000</v>
      </c>
      <c r="F390" s="1">
        <f>Table3[[#This Row],[UnitPrice]]*Table3[[#This Row],[Quantity]]</f>
        <v>28000</v>
      </c>
    </row>
    <row r="391" spans="1:6" x14ac:dyDescent="0.55000000000000004">
      <c r="A391" t="s">
        <v>306</v>
      </c>
      <c r="B391" t="s">
        <v>325</v>
      </c>
      <c r="C391" t="s">
        <v>326</v>
      </c>
      <c r="D391">
        <v>1</v>
      </c>
      <c r="E391" s="1">
        <v>2500</v>
      </c>
      <c r="F391" s="1">
        <f>Table3[[#This Row],[UnitPrice]]*Table3[[#This Row],[Quantity]]</f>
        <v>2500</v>
      </c>
    </row>
    <row r="392" spans="1:6" x14ac:dyDescent="0.55000000000000004">
      <c r="A392" t="s">
        <v>307</v>
      </c>
      <c r="B392" t="s">
        <v>325</v>
      </c>
      <c r="C392" t="s">
        <v>326</v>
      </c>
      <c r="D392">
        <v>3</v>
      </c>
      <c r="E392" s="1">
        <v>2500</v>
      </c>
      <c r="F392" s="1">
        <f>Table3[[#This Row],[UnitPrice]]*Table3[[#This Row],[Quantity]]</f>
        <v>7500</v>
      </c>
    </row>
    <row r="393" spans="1:6" x14ac:dyDescent="0.55000000000000004">
      <c r="A393" t="s">
        <v>307</v>
      </c>
      <c r="B393" t="s">
        <v>329</v>
      </c>
      <c r="C393" t="s">
        <v>326</v>
      </c>
      <c r="D393">
        <v>2</v>
      </c>
      <c r="E393" s="1">
        <v>1500</v>
      </c>
      <c r="F393" s="1">
        <f>Table3[[#This Row],[UnitPrice]]*Table3[[#This Row],[Quantity]]</f>
        <v>3000</v>
      </c>
    </row>
    <row r="394" spans="1:6" x14ac:dyDescent="0.55000000000000004">
      <c r="A394" t="s">
        <v>308</v>
      </c>
      <c r="B394" t="s">
        <v>325</v>
      </c>
      <c r="C394" t="s">
        <v>326</v>
      </c>
      <c r="D394">
        <v>2</v>
      </c>
      <c r="E394" s="1">
        <v>2500</v>
      </c>
      <c r="F394" s="1">
        <f>Table3[[#This Row],[UnitPrice]]*Table3[[#This Row],[Quantity]]</f>
        <v>5000</v>
      </c>
    </row>
    <row r="395" spans="1:6" x14ac:dyDescent="0.55000000000000004">
      <c r="A395" t="s">
        <v>308</v>
      </c>
      <c r="B395" t="s">
        <v>329</v>
      </c>
      <c r="C395" t="s">
        <v>326</v>
      </c>
      <c r="D395">
        <v>2</v>
      </c>
      <c r="E395" s="1">
        <v>1500</v>
      </c>
      <c r="F395" s="1">
        <f>Table3[[#This Row],[UnitPrice]]*Table3[[#This Row],[Quantity]]</f>
        <v>3000</v>
      </c>
    </row>
    <row r="396" spans="1:6" x14ac:dyDescent="0.55000000000000004">
      <c r="A396" t="s">
        <v>309</v>
      </c>
      <c r="B396" t="s">
        <v>327</v>
      </c>
      <c r="C396" t="s">
        <v>328</v>
      </c>
      <c r="D396">
        <v>4</v>
      </c>
      <c r="E396" s="1">
        <v>12000</v>
      </c>
      <c r="F396" s="1">
        <f>Table3[[#This Row],[UnitPrice]]*Table3[[#This Row],[Quantity]]</f>
        <v>48000</v>
      </c>
    </row>
    <row r="397" spans="1:6" x14ac:dyDescent="0.55000000000000004">
      <c r="A397" t="s">
        <v>309</v>
      </c>
      <c r="B397" t="s">
        <v>332</v>
      </c>
      <c r="C397" t="s">
        <v>326</v>
      </c>
      <c r="D397">
        <v>2</v>
      </c>
      <c r="E397" s="1">
        <v>500</v>
      </c>
      <c r="F397" s="1">
        <f>Table3[[#This Row],[UnitPrice]]*Table3[[#This Row],[Quantity]]</f>
        <v>1000</v>
      </c>
    </row>
    <row r="398" spans="1:6" x14ac:dyDescent="0.55000000000000004">
      <c r="A398" t="s">
        <v>309</v>
      </c>
      <c r="B398" t="s">
        <v>329</v>
      </c>
      <c r="C398" t="s">
        <v>326</v>
      </c>
      <c r="D398">
        <v>3</v>
      </c>
      <c r="E398" s="1">
        <v>1500</v>
      </c>
      <c r="F398" s="1">
        <f>Table3[[#This Row],[UnitPrice]]*Table3[[#This Row],[Quantity]]</f>
        <v>4500</v>
      </c>
    </row>
    <row r="399" spans="1:6" x14ac:dyDescent="0.55000000000000004">
      <c r="A399" t="s">
        <v>310</v>
      </c>
      <c r="B399" t="s">
        <v>325</v>
      </c>
      <c r="C399" t="s">
        <v>326</v>
      </c>
      <c r="D399">
        <v>5</v>
      </c>
      <c r="E399" s="1">
        <v>2500</v>
      </c>
      <c r="F399" s="1">
        <f>Table3[[#This Row],[UnitPrice]]*Table3[[#This Row],[Quantity]]</f>
        <v>12500</v>
      </c>
    </row>
    <row r="400" spans="1:6" x14ac:dyDescent="0.55000000000000004">
      <c r="A400" t="s">
        <v>310</v>
      </c>
      <c r="B400" t="s">
        <v>330</v>
      </c>
      <c r="C400" t="s">
        <v>331</v>
      </c>
      <c r="D400">
        <v>4</v>
      </c>
      <c r="E400" s="1">
        <v>7000</v>
      </c>
      <c r="F400" s="1">
        <f>Table3[[#This Row],[UnitPrice]]*Table3[[#This Row],[Quantity]]</f>
        <v>28000</v>
      </c>
    </row>
    <row r="401" spans="1:6" x14ac:dyDescent="0.55000000000000004">
      <c r="A401" t="s">
        <v>311</v>
      </c>
      <c r="B401" t="s">
        <v>329</v>
      </c>
      <c r="C401" t="s">
        <v>326</v>
      </c>
      <c r="D401">
        <v>2</v>
      </c>
      <c r="E401" s="1">
        <v>1500</v>
      </c>
      <c r="F401" s="1">
        <f>Table3[[#This Row],[UnitPrice]]*Table3[[#This Row],[Quantity]]</f>
        <v>3000</v>
      </c>
    </row>
    <row r="402" spans="1:6" x14ac:dyDescent="0.55000000000000004">
      <c r="A402" t="s">
        <v>311</v>
      </c>
      <c r="B402" t="s">
        <v>329</v>
      </c>
      <c r="C402" t="s">
        <v>326</v>
      </c>
      <c r="D402">
        <v>3</v>
      </c>
      <c r="E402" s="1">
        <v>1500</v>
      </c>
      <c r="F402" s="1">
        <f>Table3[[#This Row],[UnitPrice]]*Table3[[#This Row],[Quantity]]</f>
        <v>4500</v>
      </c>
    </row>
    <row r="403" spans="1:6" x14ac:dyDescent="0.55000000000000004">
      <c r="A403" t="s">
        <v>311</v>
      </c>
      <c r="B403" t="s">
        <v>327</v>
      </c>
      <c r="C403" t="s">
        <v>328</v>
      </c>
      <c r="D403">
        <v>5</v>
      </c>
      <c r="E403" s="1">
        <v>12000</v>
      </c>
      <c r="F403" s="1">
        <f>Table3[[#This Row],[UnitPrice]]*Table3[[#This Row],[Quantity]]</f>
        <v>60000</v>
      </c>
    </row>
    <row r="404" spans="1:6" x14ac:dyDescent="0.55000000000000004">
      <c r="A404" t="s">
        <v>312</v>
      </c>
      <c r="B404" t="s">
        <v>325</v>
      </c>
      <c r="C404" t="s">
        <v>326</v>
      </c>
      <c r="D404">
        <v>2</v>
      </c>
      <c r="E404" s="1">
        <v>2500</v>
      </c>
      <c r="F404" s="1">
        <f>Table3[[#This Row],[UnitPrice]]*Table3[[#This Row],[Quantity]]</f>
        <v>5000</v>
      </c>
    </row>
    <row r="405" spans="1:6" x14ac:dyDescent="0.55000000000000004">
      <c r="A405" t="s">
        <v>313</v>
      </c>
      <c r="B405" t="s">
        <v>325</v>
      </c>
      <c r="C405" t="s">
        <v>326</v>
      </c>
      <c r="D405">
        <v>3</v>
      </c>
      <c r="E405" s="1">
        <v>2500</v>
      </c>
      <c r="F405" s="1">
        <f>Table3[[#This Row],[UnitPrice]]*Table3[[#This Row],[Quantity]]</f>
        <v>7500</v>
      </c>
    </row>
    <row r="406" spans="1:6" x14ac:dyDescent="0.55000000000000004">
      <c r="A406" t="s">
        <v>314</v>
      </c>
      <c r="B406" t="s">
        <v>329</v>
      </c>
      <c r="C406" t="s">
        <v>326</v>
      </c>
      <c r="D406">
        <v>5</v>
      </c>
      <c r="E406" s="1">
        <v>1500</v>
      </c>
      <c r="F406" s="1">
        <f>Table3[[#This Row],[UnitPrice]]*Table3[[#This Row],[Quantity]]</f>
        <v>7500</v>
      </c>
    </row>
    <row r="407" spans="1:6" x14ac:dyDescent="0.55000000000000004">
      <c r="A407" t="s">
        <v>315</v>
      </c>
      <c r="B407" t="s">
        <v>330</v>
      </c>
      <c r="C407" t="s">
        <v>331</v>
      </c>
      <c r="D407">
        <v>3</v>
      </c>
      <c r="E407" s="1">
        <v>7000</v>
      </c>
      <c r="F407" s="1">
        <f>Table3[[#This Row],[UnitPrice]]*Table3[[#This Row],[Quantity]]</f>
        <v>21000</v>
      </c>
    </row>
    <row r="408" spans="1:6" x14ac:dyDescent="0.55000000000000004">
      <c r="A408" t="s">
        <v>315</v>
      </c>
      <c r="B408" t="s">
        <v>334</v>
      </c>
      <c r="C408" t="s">
        <v>328</v>
      </c>
      <c r="D408">
        <v>1</v>
      </c>
      <c r="E408" s="1">
        <v>55000</v>
      </c>
      <c r="F408" s="1">
        <f>Table3[[#This Row],[UnitPrice]]*Table3[[#This Row],[Quantity]]</f>
        <v>55000</v>
      </c>
    </row>
    <row r="409" spans="1:6" x14ac:dyDescent="0.55000000000000004">
      <c r="A409" t="s">
        <v>316</v>
      </c>
      <c r="B409" t="s">
        <v>329</v>
      </c>
      <c r="C409" t="s">
        <v>326</v>
      </c>
      <c r="D409">
        <v>4</v>
      </c>
      <c r="E409" s="1">
        <v>1500</v>
      </c>
      <c r="F409" s="1">
        <f>Table3[[#This Row],[UnitPrice]]*Table3[[#This Row],[Quantity]]</f>
        <v>6000</v>
      </c>
    </row>
    <row r="410" spans="1:6" x14ac:dyDescent="0.55000000000000004">
      <c r="A410" t="s">
        <v>316</v>
      </c>
      <c r="B410" t="s">
        <v>329</v>
      </c>
      <c r="C410" t="s">
        <v>326</v>
      </c>
      <c r="D410">
        <v>2</v>
      </c>
      <c r="E410" s="1">
        <v>1500</v>
      </c>
      <c r="F410" s="1">
        <f>Table3[[#This Row],[UnitPrice]]*Table3[[#This Row],[Quantity]]</f>
        <v>3000</v>
      </c>
    </row>
    <row r="411" spans="1:6" x14ac:dyDescent="0.55000000000000004">
      <c r="A411" t="s">
        <v>316</v>
      </c>
      <c r="B411" t="s">
        <v>330</v>
      </c>
      <c r="C411" t="s">
        <v>331</v>
      </c>
      <c r="D411">
        <v>3</v>
      </c>
      <c r="E411" s="1">
        <v>7000</v>
      </c>
      <c r="F411" s="1">
        <f>Table3[[#This Row],[UnitPrice]]*Table3[[#This Row],[Quantity]]</f>
        <v>21000</v>
      </c>
    </row>
    <row r="412" spans="1:6" x14ac:dyDescent="0.55000000000000004">
      <c r="A412" t="s">
        <v>317</v>
      </c>
      <c r="B412" t="s">
        <v>325</v>
      </c>
      <c r="C412" t="s">
        <v>326</v>
      </c>
      <c r="D412">
        <v>4</v>
      </c>
      <c r="E412" s="1">
        <v>2500</v>
      </c>
      <c r="F412" s="1">
        <f>Table3[[#This Row],[UnitPrice]]*Table3[[#This Row],[Quantity]]</f>
        <v>10000</v>
      </c>
    </row>
    <row r="413" spans="1:6" x14ac:dyDescent="0.55000000000000004">
      <c r="A413" t="s">
        <v>317</v>
      </c>
      <c r="B413" t="s">
        <v>327</v>
      </c>
      <c r="C413" t="s">
        <v>328</v>
      </c>
      <c r="D413">
        <v>4</v>
      </c>
      <c r="E413" s="1">
        <v>12000</v>
      </c>
      <c r="F413" s="1">
        <f>Table3[[#This Row],[UnitPrice]]*Table3[[#This Row],[Quantity]]</f>
        <v>48000</v>
      </c>
    </row>
    <row r="414" spans="1:6" x14ac:dyDescent="0.55000000000000004">
      <c r="A414" t="s">
        <v>318</v>
      </c>
      <c r="B414" t="s">
        <v>330</v>
      </c>
      <c r="C414" t="s">
        <v>331</v>
      </c>
      <c r="D414">
        <v>5</v>
      </c>
      <c r="E414" s="1">
        <v>7000</v>
      </c>
      <c r="F414" s="1">
        <f>Table3[[#This Row],[UnitPrice]]*Table3[[#This Row],[Quantity]]</f>
        <v>35000</v>
      </c>
    </row>
    <row r="415" spans="1:6" x14ac:dyDescent="0.55000000000000004">
      <c r="A415" t="s">
        <v>318</v>
      </c>
      <c r="B415" t="s">
        <v>325</v>
      </c>
      <c r="C415" t="s">
        <v>326</v>
      </c>
      <c r="D415">
        <v>3</v>
      </c>
      <c r="E415" s="1">
        <v>2500</v>
      </c>
      <c r="F415" s="1">
        <f>Table3[[#This Row],[UnitPrice]]*Table3[[#This Row],[Quantity]]</f>
        <v>7500</v>
      </c>
    </row>
    <row r="416" spans="1:6" x14ac:dyDescent="0.55000000000000004">
      <c r="A416" t="s">
        <v>318</v>
      </c>
      <c r="B416" t="s">
        <v>325</v>
      </c>
      <c r="C416" t="s">
        <v>326</v>
      </c>
      <c r="D416">
        <v>4</v>
      </c>
      <c r="E416" s="1">
        <v>2500</v>
      </c>
      <c r="F416" s="1">
        <f>Table3[[#This Row],[UnitPrice]]*Table3[[#This Row],[Quantity]]</f>
        <v>10000</v>
      </c>
    </row>
    <row r="417" spans="1:6" x14ac:dyDescent="0.55000000000000004">
      <c r="A417" t="s">
        <v>319</v>
      </c>
      <c r="B417" t="s">
        <v>327</v>
      </c>
      <c r="C417" t="s">
        <v>328</v>
      </c>
      <c r="D417">
        <v>1</v>
      </c>
      <c r="E417" s="1">
        <v>12000</v>
      </c>
      <c r="F417" s="1">
        <f>Table3[[#This Row],[UnitPrice]]*Table3[[#This Row],[Quantity]]</f>
        <v>12000</v>
      </c>
    </row>
    <row r="418" spans="1:6" x14ac:dyDescent="0.55000000000000004">
      <c r="A418" t="s">
        <v>319</v>
      </c>
      <c r="B418" t="s">
        <v>333</v>
      </c>
      <c r="C418" t="s">
        <v>331</v>
      </c>
      <c r="D418">
        <v>4</v>
      </c>
      <c r="E418" s="1">
        <v>15000</v>
      </c>
      <c r="F418" s="1">
        <f>Table3[[#This Row],[UnitPrice]]*Table3[[#This Row],[Quantity]]</f>
        <v>60000</v>
      </c>
    </row>
    <row r="419" spans="1:6" x14ac:dyDescent="0.55000000000000004">
      <c r="F419" s="1">
        <f>SUM(Table3[TotalSales])</f>
        <v>14934000</v>
      </c>
    </row>
  </sheetData>
  <conditionalFormatting sqref="F420:F1048576 F2:F418">
    <cfRule type="cellIs" dxfId="8" priority="6" operator="greaterThan">
      <formula>200000</formula>
    </cfRule>
  </conditionalFormatting>
  <conditionalFormatting sqref="F1:F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{D97DB52B-6F7C-44BB-8B58-6AECF76C7774}</x14:id>
        </ext>
      </extLst>
    </cfRule>
  </conditionalFormatting>
  <conditionalFormatting sqref="F1:F41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{498AAC54-9AFA-4A33-98E7-6B64223B1EE1}</x14:id>
        </ext>
      </extLst>
    </cfRule>
  </conditionalFormatting>
  <pageMargins left="0.75" right="0.75" top="1" bottom="1" header="0.5" footer="0.5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7DB52B-6F7C-44BB-8B58-6AECF76C7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498AAC54-9AFA-4A33-98E7-6B64223B1E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F1:F418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2025-12-13T07:08:21Z</dcterms:created>
  <dcterms:modified xsi:type="dcterms:W3CDTF">2025-12-13T11:11:35Z</dcterms:modified>
</cp:coreProperties>
</file>